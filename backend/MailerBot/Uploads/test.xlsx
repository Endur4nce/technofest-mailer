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/>
  <mc:AlternateContent xmlns:mc="http://schemas.openxmlformats.org/markup-compatibility/2006">
    <mc:Choice Requires="x15">
      <x15ac:absPath xmlns:x15ac="http://schemas.microsoft.com/office/spreadsheetml/2010/11/ac" url="D:\Anton\Projects\! 2023\! Технофест\"/>
    </mc:Choice>
  </mc:AlternateContent>
  <xr:revisionPtr revIDLastSave="0" documentId="13_ncr:1_{61C794C1-1861-44B2-A649-8E09C91ADA3C}" xr6:coauthVersionLast="45" xr6:coauthVersionMax="45" xr10:uidLastSave="{00000000-0000-0000-0000-000000000000}"/>
  <bookViews>
    <workbookView xWindow="28680" yWindow="-120" windowWidth="29040" windowHeight="15840" activeTab="1" xr2:uid="{00000000-000D-0000-FFFF-FFFF00000000}"/>
  </bookViews>
  <sheets>
    <sheet name="Лист1" sheetId="14" r:id="rId1"/>
    <sheet name="Sheet" sheetId="1" r:id="rId2"/>
    <sheet name="ПО" sheetId="6" r:id="rId3"/>
    <sheet name="ЛЛД" sheetId="2" r:id="rId4"/>
    <sheet name="ЛЛА" sheetId="3" r:id="rId5"/>
    <sheet name="Люди в удгу" sheetId="4" r:id="rId6"/>
    <sheet name="Л2Д" sheetId="5" r:id="rId7"/>
    <sheet name="Л2А" sheetId="7" r:id="rId8"/>
    <sheet name="ЛБР" sheetId="8" r:id="rId9"/>
    <sheet name="ФК" sheetId="9" r:id="rId10"/>
    <sheet name="ФВ" sheetId="10" r:id="rId11"/>
    <sheet name="ДРмини" sheetId="11" r:id="rId12"/>
    <sheet name="ДР" sheetId="12" r:id="rId13"/>
    <sheet name="МА" sheetId="13" r:id="rId14"/>
  </sheets>
  <definedNames>
    <definedName name="_xlnm._FilterDatabase" localSheetId="1" hidden="1">Sheet!$A$1:$U$167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G28" i="13" l="1"/>
  <c r="G32" i="12" l="1"/>
  <c r="G57" i="11"/>
  <c r="I10" i="10"/>
  <c r="I4" i="10"/>
  <c r="I5" i="10"/>
  <c r="I6" i="10"/>
  <c r="I7" i="10"/>
  <c r="I8" i="10"/>
  <c r="I9" i="10"/>
  <c r="I3" i="10"/>
  <c r="I3" i="9"/>
  <c r="I9" i="9"/>
  <c r="I4" i="9"/>
  <c r="I5" i="9"/>
  <c r="I6" i="9"/>
  <c r="I7" i="9"/>
  <c r="I8" i="9"/>
  <c r="I3" i="8"/>
  <c r="I2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3" i="7"/>
  <c r="I15" i="7"/>
  <c r="I4" i="7"/>
  <c r="I5" i="7"/>
  <c r="I6" i="7"/>
  <c r="I7" i="7"/>
  <c r="I8" i="7"/>
  <c r="I9" i="7"/>
  <c r="I10" i="7"/>
  <c r="I11" i="7"/>
  <c r="I12" i="7"/>
  <c r="I13" i="7"/>
  <c r="I14" i="7"/>
  <c r="I3" i="5"/>
  <c r="I23" i="5" s="1"/>
  <c r="I21" i="6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3" i="3"/>
  <c r="E77" i="4"/>
  <c r="D77" i="4"/>
  <c r="C77" i="4"/>
  <c r="B77" i="4"/>
  <c r="A77" i="4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3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4" i="2"/>
  <c r="I40" i="3" l="1"/>
  <c r="I39" i="2"/>
</calcChain>
</file>

<file path=xl/sharedStrings.xml><?xml version="1.0" encoding="utf-8"?>
<sst xmlns="http://schemas.openxmlformats.org/spreadsheetml/2006/main" count="3649" uniqueCount="1024">
  <si>
    <t>ID</t>
  </si>
  <si>
    <t>Организация/
образовательное учреждение</t>
  </si>
  <si>
    <t>Название команды</t>
  </si>
  <si>
    <t>ФИО руководителя/ куратора/ консультанта (полностью)</t>
  </si>
  <si>
    <t>ФИО участника 1 (полностью)</t>
  </si>
  <si>
    <t>ФИО участника 2 (полностью)</t>
  </si>
  <si>
    <t>ФИО участника 3 (полностью)</t>
  </si>
  <si>
    <t>Телефон</t>
  </si>
  <si>
    <t>Почта</t>
  </si>
  <si>
    <t>Принимаю условия обработки персональных данных</t>
  </si>
  <si>
    <t>1603425541</t>
  </si>
  <si>
    <t>ПГТУ</t>
  </si>
  <si>
    <t>Пилот</t>
  </si>
  <si>
    <t>Васяева Наталья Семёновна</t>
  </si>
  <si>
    <t>Синельников Алексей Антонович</t>
  </si>
  <si>
    <t>+7 902 436-43-03</t>
  </si>
  <si>
    <t>toma-lesha-2015@mail.ru</t>
  </si>
  <si>
    <t>Да</t>
  </si>
  <si>
    <t>1603418714</t>
  </si>
  <si>
    <t>МАОУ ДО УГЭЦ "Фортуна" ГО г. Уфа РБ</t>
  </si>
  <si>
    <t>Jarvis</t>
  </si>
  <si>
    <t>Салахов Айрат Маулетович</t>
  </si>
  <si>
    <t>Гареев Тимур Наильевич</t>
  </si>
  <si>
    <t>+7 917 389-31-09</t>
  </si>
  <si>
    <t>salahov_airat94@mail.ru</t>
  </si>
  <si>
    <t>1603386930</t>
  </si>
  <si>
    <t>Политехническая олимпиада</t>
  </si>
  <si>
    <t>ЧОУ ДПО "Академия "Калашников"</t>
  </si>
  <si>
    <t>"Как всегда в последний вагон"</t>
  </si>
  <si>
    <t>Матюшин Виталий Вавилович</t>
  </si>
  <si>
    <t>Кулеев Макар Николаевич</t>
  </si>
  <si>
    <t>Кокарев Александр Дмитриевич</t>
  </si>
  <si>
    <t>Закиров Марсель Рамилевич</t>
  </si>
  <si>
    <t>+7 912 026-14-53</t>
  </si>
  <si>
    <t>jazzmenka@yandex.ru</t>
  </si>
  <si>
    <t>1603383940</t>
  </si>
  <si>
    <t>УдГАУ</t>
  </si>
  <si>
    <t xml:space="preserve">los pinguinos </t>
  </si>
  <si>
    <t>Русских Дмитрий Андреевич</t>
  </si>
  <si>
    <t>Колегов Владимир Александрович</t>
  </si>
  <si>
    <t>+7 912 026-83-64</t>
  </si>
  <si>
    <t>jakobs1018@ya.ru</t>
  </si>
  <si>
    <t>1603381318</t>
  </si>
  <si>
    <t>МБОУ "ИТ-лицей №24"</t>
  </si>
  <si>
    <t>"ИТ-лицей"</t>
  </si>
  <si>
    <t>Опарин Алексей Иванович</t>
  </si>
  <si>
    <t>Федосеев Александр</t>
  </si>
  <si>
    <t>+7 905 874-09-47</t>
  </si>
  <si>
    <t>aio78@yandex.ru</t>
  </si>
  <si>
    <t>1603378946</t>
  </si>
  <si>
    <t>Филиал РТУ МИРЭА в г. Фрязино</t>
  </si>
  <si>
    <t>Гости из Фрязино</t>
  </si>
  <si>
    <t>Бобров Максим Сергеевич</t>
  </si>
  <si>
    <t xml:space="preserve">Бобров Максим Сергеевич </t>
  </si>
  <si>
    <t>Малеваник Станислав Олегович</t>
  </si>
  <si>
    <t xml:space="preserve">Авдеев Павел Андреевич </t>
  </si>
  <si>
    <t>+7 915 104-11-30</t>
  </si>
  <si>
    <t>Makbeaver@ya.ru</t>
  </si>
  <si>
    <t>1603375362</t>
  </si>
  <si>
    <t>team spektra</t>
  </si>
  <si>
    <t>Шестаков Вячеслав Александрович</t>
  </si>
  <si>
    <t>Максимов Илья Григорьевич</t>
  </si>
  <si>
    <t>Некрасов Константин Алексеевич</t>
  </si>
  <si>
    <t>Кислухин Вячеслав Дмитриевич</t>
  </si>
  <si>
    <t>1603374709</t>
  </si>
  <si>
    <t>Университет Иннополис</t>
  </si>
  <si>
    <t>У нас лапки!</t>
  </si>
  <si>
    <t>Сухоруков Юрий Геннадьевич</t>
  </si>
  <si>
    <t>Житников Андрей Андреевич</t>
  </si>
  <si>
    <t>+7 920 412-24-26</t>
  </si>
  <si>
    <t>1budsmoker1@gmail.com</t>
  </si>
  <si>
    <t>1603373656</t>
  </si>
  <si>
    <t>Литиум</t>
  </si>
  <si>
    <t>Изибаев Егор Викторович</t>
  </si>
  <si>
    <t>Склямин Антон Игоревич</t>
  </si>
  <si>
    <t>Козырев Андрей Васильевич</t>
  </si>
  <si>
    <t>izibaev.egor@yandex.ru</t>
  </si>
  <si>
    <t>1603372202</t>
  </si>
  <si>
    <t>A-spy</t>
  </si>
  <si>
    <t>Якимов Илья Алексеевич</t>
  </si>
  <si>
    <t>Даутов Тимур Ирекович</t>
  </si>
  <si>
    <t>Собин Арсений Владиславович</t>
  </si>
  <si>
    <t>1603370346</t>
  </si>
  <si>
    <t>Техно - открытие</t>
  </si>
  <si>
    <t>Храмов Лев Вячеславович</t>
  </si>
  <si>
    <t>Безносов Максим Андреевич</t>
  </si>
  <si>
    <t>Шкляев Арсений Алексеевич</t>
  </si>
  <si>
    <t>1603367698</t>
  </si>
  <si>
    <t>МБОУ "СОШ80"</t>
  </si>
  <si>
    <t>Диотрио</t>
  </si>
  <si>
    <t>Тюлькин Павел Леонидович</t>
  </si>
  <si>
    <t>Безносов Никита Вадимович</t>
  </si>
  <si>
    <t>Бочков Виталий Алексеевич</t>
  </si>
  <si>
    <t>Ураков Дмитрий Данилович</t>
  </si>
  <si>
    <t>+7 951 208-30-86</t>
  </si>
  <si>
    <t>phantom.hald@mail.ru</t>
  </si>
  <si>
    <t>1603357349</t>
  </si>
  <si>
    <t>ШедевроТехнофест</t>
  </si>
  <si>
    <t>Варзегов Данил Александрович</t>
  </si>
  <si>
    <t>Горбунов Матвей Никитич</t>
  </si>
  <si>
    <t>Наумов Аристарх Игнатович</t>
  </si>
  <si>
    <t>1603355537</t>
  </si>
  <si>
    <t>Мультиварка</t>
  </si>
  <si>
    <t>Рослевич Валерий Андреевич</t>
  </si>
  <si>
    <t>Лебедев Тимур Ильич</t>
  </si>
  <si>
    <t>Вахрушев Дмитрий Сергеевич</t>
  </si>
  <si>
    <t>1603354083</t>
  </si>
  <si>
    <t>Waffles</t>
  </si>
  <si>
    <t>Юнусов Марсель Маратович</t>
  </si>
  <si>
    <t>Зубков Илья Вадимович</t>
  </si>
  <si>
    <t>Сабреков Станислав Евгеньевич</t>
  </si>
  <si>
    <t>1603326368</t>
  </si>
  <si>
    <t xml:space="preserve">АО «Ижевский мотозавод «Аксион-холдинг», ФГБОУ ВО ИжГТУ им. М.Т. Калашникова </t>
  </si>
  <si>
    <t>Izhevsk Dynamics</t>
  </si>
  <si>
    <t>Караваев Юрий Леонидович</t>
  </si>
  <si>
    <t>Дерюшев Павел Николаевич</t>
  </si>
  <si>
    <t>Сутягин Роман Михайлович</t>
  </si>
  <si>
    <t xml:space="preserve">Банников Александр Андреевич </t>
  </si>
  <si>
    <t>+7 909 052-56-95</t>
  </si>
  <si>
    <t>pavelderyusev@mail.ru</t>
  </si>
  <si>
    <t>1603320406</t>
  </si>
  <si>
    <t>АО «Ижевский мотозавод «Аксион-холдинг», ФГБОУ ВО ИжГТУ им. М.Т. Калашникова</t>
  </si>
  <si>
    <t>БЕАДЛАБ_АУф</t>
  </si>
  <si>
    <t>Шишкин Павел Денисович</t>
  </si>
  <si>
    <t>1603315795</t>
  </si>
  <si>
    <t xml:space="preserve">АО «Ижевский мотозавод «Аксион-холдинг»,  ФГБОУ ВО ИжГТУ им. М.Т. Калашникова </t>
  </si>
  <si>
    <t>БЕАДЛАБ</t>
  </si>
  <si>
    <t xml:space="preserve">Федоров Андрей Александрович </t>
  </si>
  <si>
    <t>Макаров Артем Олегович</t>
  </si>
  <si>
    <t>1603304251</t>
  </si>
  <si>
    <t>АНО ВО Университет Иннополис</t>
  </si>
  <si>
    <t>IURobotics</t>
  </si>
  <si>
    <t>Павлов Дмитрий Владимирович</t>
  </si>
  <si>
    <t>+7 989 527-57-96</t>
  </si>
  <si>
    <t>dvpavlovsfedu@mail.ru</t>
  </si>
  <si>
    <t>1603300098</t>
  </si>
  <si>
    <t>ИжГТУ</t>
  </si>
  <si>
    <t>IzhSTU_systems</t>
  </si>
  <si>
    <t>Зорина Оксана Евгеньевна</t>
  </si>
  <si>
    <t>Халиуллин Азат Альфредович</t>
  </si>
  <si>
    <t xml:space="preserve">Казанкин Кирилл Дмитриевич </t>
  </si>
  <si>
    <t>+7 950 168-07-04</t>
  </si>
  <si>
    <t>azathkhaliullin@yandex.ru</t>
  </si>
  <si>
    <t>1603138570</t>
  </si>
  <si>
    <t>УдГУ</t>
  </si>
  <si>
    <t>AVIAS</t>
  </si>
  <si>
    <t>Попков Артём Викторович</t>
  </si>
  <si>
    <t>Станиславский Богдан Андреевич</t>
  </si>
  <si>
    <t>Сафронов Егор Петрович</t>
  </si>
  <si>
    <t>+7 912 440-17-80</t>
  </si>
  <si>
    <t>worldoftanksbogdan@gmail.com</t>
  </si>
  <si>
    <t>1603102594</t>
  </si>
  <si>
    <t>АНО ДПО "ЦПКИТ" ЦДМИТ "Технотроника"</t>
  </si>
  <si>
    <t>ТехноБот</t>
  </si>
  <si>
    <t>Янчурина Гульнара Дульфакаровна</t>
  </si>
  <si>
    <t>Сопко Роман Павлович</t>
  </si>
  <si>
    <t>+7 919 907-06-67</t>
  </si>
  <si>
    <t>pedagognt@gmail.com</t>
  </si>
  <si>
    <t>1603073631</t>
  </si>
  <si>
    <t>МБОУ "СОШ №80"</t>
  </si>
  <si>
    <t>Подоконник</t>
  </si>
  <si>
    <t>Иванов Александр Александрович</t>
  </si>
  <si>
    <t>Костин Владимир Александрович</t>
  </si>
  <si>
    <t>Васильев Роман Дмитриевич</t>
  </si>
  <si>
    <t>1602890404</t>
  </si>
  <si>
    <t>Физ. лицо</t>
  </si>
  <si>
    <t>А что, если?</t>
  </si>
  <si>
    <t>Филатова Мария Александровна</t>
  </si>
  <si>
    <t>+7 919 410-55-96</t>
  </si>
  <si>
    <t>maryfilly@ya.ru</t>
  </si>
  <si>
    <t>1602838427</t>
  </si>
  <si>
    <t>Artfoils</t>
  </si>
  <si>
    <t>Destructor2</t>
  </si>
  <si>
    <t>Светлаков Александр Сергеевич</t>
  </si>
  <si>
    <t>Шамсутдинов Булат Ильшатович</t>
  </si>
  <si>
    <t>+7 902 104-13-28</t>
  </si>
  <si>
    <t>sims116@mail.ru</t>
  </si>
  <si>
    <t>1602835569</t>
  </si>
  <si>
    <t>ArtFoils</t>
  </si>
  <si>
    <t>Destructor</t>
  </si>
  <si>
    <t xml:space="preserve">Светлаков Александр Сергеевич </t>
  </si>
  <si>
    <t>+7 917 870-77-08</t>
  </si>
  <si>
    <t>svetlakovas@gmail.com</t>
  </si>
  <si>
    <t>1602792164</t>
  </si>
  <si>
    <t>Физ. Лицо</t>
  </si>
  <si>
    <t>Team72th</t>
  </si>
  <si>
    <t>Фирсов Ярослав Александрович</t>
  </si>
  <si>
    <t>+7 951 878-60-78</t>
  </si>
  <si>
    <t>Team72th@lenta.ru</t>
  </si>
  <si>
    <t>1602787986</t>
  </si>
  <si>
    <t>Ижевский государственный технический университет им. М.Т. Калашникова</t>
  </si>
  <si>
    <t>Электроникс</t>
  </si>
  <si>
    <t>Назаров Антон Вячеславович</t>
  </si>
  <si>
    <t>Бикмурзина Анастасия Андреевна</t>
  </si>
  <si>
    <t>Макаренков Ефим Александрович</t>
  </si>
  <si>
    <t>+7 950 827-31-97</t>
  </si>
  <si>
    <t>antonnaz14@gmail.com</t>
  </si>
  <si>
    <t>1602785975</t>
  </si>
  <si>
    <t>МБОУДОНТЦ Механик УР г. Ижевск</t>
  </si>
  <si>
    <t>1</t>
  </si>
  <si>
    <t>Добросинец РБ</t>
  </si>
  <si>
    <t xml:space="preserve">Шуклин Глеб Васильевич </t>
  </si>
  <si>
    <t>+7 912 026-07-27</t>
  </si>
  <si>
    <t>R-r-r-myu@mail.ru</t>
  </si>
  <si>
    <t>1602696219</t>
  </si>
  <si>
    <t>АНО "Центр Развития Личности "Уникум"</t>
  </si>
  <si>
    <t>Юные авиастроители</t>
  </si>
  <si>
    <t>Мирошниченко Геннадий Владимирович</t>
  </si>
  <si>
    <t>Хальков Фидель Зульфатович</t>
  </si>
  <si>
    <t>+7 919 903-18-45</t>
  </si>
  <si>
    <t>miroshgennadij@yandex.ru</t>
  </si>
  <si>
    <t>1602640240</t>
  </si>
  <si>
    <t>ЧОУ ДПО Академия Калашников</t>
  </si>
  <si>
    <t>ОКБ  имени Пина</t>
  </si>
  <si>
    <t>Москаленко Богдан Максимович</t>
  </si>
  <si>
    <t>+7 909 055-84-00</t>
  </si>
  <si>
    <t>Bmoskalenko02@gmail.com</t>
  </si>
  <si>
    <t>1602622504</t>
  </si>
  <si>
    <t>Фигурное воздухоплавание</t>
  </si>
  <si>
    <t>Поволжский государственный технологический университет</t>
  </si>
  <si>
    <t>521</t>
  </si>
  <si>
    <t>Морохин Дмитрий Витальевич</t>
  </si>
  <si>
    <t>Карташев Роман Александрович</t>
  </si>
  <si>
    <t xml:space="preserve"> Соснин Алексей Владимирович</t>
  </si>
  <si>
    <t>+7 902 432-95-92</t>
  </si>
  <si>
    <t>kartarom21@gmail.com</t>
  </si>
  <si>
    <t>1600819346</t>
  </si>
  <si>
    <t>БУОШИ "Республиканский лицей интернат"</t>
  </si>
  <si>
    <t>Васильев Дмитрий Андреевич</t>
  </si>
  <si>
    <t>Сычев Антон Владимирович</t>
  </si>
  <si>
    <t>+7 982 993-13-12</t>
  </si>
  <si>
    <t>Mityakarat2005@yandex.ru</t>
  </si>
  <si>
    <t>1600817084</t>
  </si>
  <si>
    <t>ЧОУ ДПО "Академия Калашникова"</t>
  </si>
  <si>
    <t>АР-БП-14</t>
  </si>
  <si>
    <t>Сычёв Антон Владимирович</t>
  </si>
  <si>
    <t xml:space="preserve">Тереньтев Андрей Антонович </t>
  </si>
  <si>
    <t>+7 951 193-48-56</t>
  </si>
  <si>
    <t>andreyterentjev2018@gmail.com</t>
  </si>
  <si>
    <t>1600665228</t>
  </si>
  <si>
    <t xml:space="preserve">МТЦ механик </t>
  </si>
  <si>
    <t>Парящий кот</t>
  </si>
  <si>
    <t>Тяпин Алексей Ильич</t>
  </si>
  <si>
    <t>Тяпин</t>
  </si>
  <si>
    <t>+7 950 834-00-66</t>
  </si>
  <si>
    <t>Alextyapin2509@gmail.com</t>
  </si>
  <si>
    <t>1600624736</t>
  </si>
  <si>
    <t>ДНК/ИТ-лицей №24/СОШ №80/Лингвистический лицей № 22</t>
  </si>
  <si>
    <t xml:space="preserve">Дружная Наша Команда </t>
  </si>
  <si>
    <t>Чермак Юлиана Константиновна</t>
  </si>
  <si>
    <t>Тихонов Сергей Рудольфович</t>
  </si>
  <si>
    <t>Вахрушев Егор Андреевич</t>
  </si>
  <si>
    <t>1600621572</t>
  </si>
  <si>
    <t>БПОУ УР "Ижевский индустриальный техникум имени Е.Ф. Драгунова"</t>
  </si>
  <si>
    <t>Индустриальный 2</t>
  </si>
  <si>
    <t xml:space="preserve">Вернигор Александр Николаевич </t>
  </si>
  <si>
    <t>Шалюгин Ян Алексеевич</t>
  </si>
  <si>
    <t>Генохов Михаил Сергеевич</t>
  </si>
  <si>
    <t xml:space="preserve">Шалюгин Ян Алексеевич </t>
  </si>
  <si>
    <t>+7 912 758-02-29</t>
  </si>
  <si>
    <t>miklgen2006@gmail.com</t>
  </si>
  <si>
    <t>1600574580</t>
  </si>
  <si>
    <t xml:space="preserve">ДНК им. Вернадского В.И./МБОУ "ИТ-лицей №24" </t>
  </si>
  <si>
    <t>ДНК Аэро</t>
  </si>
  <si>
    <t>Буторин Иван Сергеевич</t>
  </si>
  <si>
    <t>Федосеев Александр Сергеевич</t>
  </si>
  <si>
    <t>+7 950 166-20-19</t>
  </si>
  <si>
    <t>butorin-i@inbox.ru</t>
  </si>
  <si>
    <t>1600566188</t>
  </si>
  <si>
    <t>НТЦ Механик</t>
  </si>
  <si>
    <t>Реактивный Тукан</t>
  </si>
  <si>
    <t>Добросинец Роман Борисович</t>
  </si>
  <si>
    <t>Мерзляков Илья Александрович</t>
  </si>
  <si>
    <t>+7 982 819-69-36</t>
  </si>
  <si>
    <t>merzlyakova.kseniya@mail.ru</t>
  </si>
  <si>
    <t>1600518818</t>
  </si>
  <si>
    <t xml:space="preserve">БПОУ УР "ИИТ ИМ. Е.Ф. ДРАГУНОВА" </t>
  </si>
  <si>
    <t xml:space="preserve">Индустриальный1 </t>
  </si>
  <si>
    <t>Вернигор Александр Николаевич</t>
  </si>
  <si>
    <t xml:space="preserve">Новиков Максим Алексеевич </t>
  </si>
  <si>
    <t>Наговицин Никита Павлович</t>
  </si>
  <si>
    <t>Власевский Иван Дмитриевич</t>
  </si>
  <si>
    <t>+7 951 211-58-53</t>
  </si>
  <si>
    <t>ivan.vlasev.03@mail.ru</t>
  </si>
  <si>
    <t>1600433790</t>
  </si>
  <si>
    <t>Мирошниченко  Геннадий Владимирович</t>
  </si>
  <si>
    <t>Веселов Абдуллах Дмитриевич</t>
  </si>
  <si>
    <t>1600366135</t>
  </si>
  <si>
    <t>ДНК им. Вернадского В.И./МБОУ СОШ №48</t>
  </si>
  <si>
    <t>Механики</t>
  </si>
  <si>
    <t>Каримов Айдар Булатович</t>
  </si>
  <si>
    <t>Газизов Камиль Ринатович</t>
  </si>
  <si>
    <t>Духтанов Михаил Иванович</t>
  </si>
  <si>
    <t>1600362013</t>
  </si>
  <si>
    <t>Непредсказуемые</t>
  </si>
  <si>
    <t>Шестаков Богдан Денисович</t>
  </si>
  <si>
    <t>Куршин Андрей Станиславович</t>
  </si>
  <si>
    <t>Иванов Даниил Денисович</t>
  </si>
  <si>
    <t>1600357047</t>
  </si>
  <si>
    <t>Silver chariot</t>
  </si>
  <si>
    <t>Клековкин Антон Владимирович</t>
  </si>
  <si>
    <t>Шакиров Артем Дмитриевич</t>
  </si>
  <si>
    <t>Дмитриев Артем Андреевич</t>
  </si>
  <si>
    <t>Белкин Никита Вячеславович</t>
  </si>
  <si>
    <t>+7 912 877-96-05</t>
  </si>
  <si>
    <t>artdmshakirov@gmail.com</t>
  </si>
  <si>
    <t>1600063009</t>
  </si>
  <si>
    <t>Хабибуллин Дамир Рафаэлевич</t>
  </si>
  <si>
    <t>1600059672</t>
  </si>
  <si>
    <t>Зуфар Ильфатович Шагигараев</t>
  </si>
  <si>
    <t>1600004024</t>
  </si>
  <si>
    <t>АНО "Центр  Развития Личности "Уникум"</t>
  </si>
  <si>
    <t>Хасанов Усман Гумерович</t>
  </si>
  <si>
    <t>1599770995</t>
  </si>
  <si>
    <t>ЧОУ ДО «Академия Калашников»</t>
  </si>
  <si>
    <t>СБУС</t>
  </si>
  <si>
    <t>Мальцев Артём Алексеевич</t>
  </si>
  <si>
    <t>+7 982 832-08-99</t>
  </si>
  <si>
    <t>artem.fakeon@gmail.com</t>
  </si>
  <si>
    <t>1599767611</t>
  </si>
  <si>
    <t>МАОУ ДО "Уфимский городской экологический центр "Фортуна" ГО г. Уфа РБ</t>
  </si>
  <si>
    <t>ВАЛЛ-И</t>
  </si>
  <si>
    <t>Байгузин Илья Викторович</t>
  </si>
  <si>
    <t>1599691986</t>
  </si>
  <si>
    <t>АО «Концерн «Калашникова»</t>
  </si>
  <si>
    <t>Петров Дмитрий Игоревич</t>
  </si>
  <si>
    <t>Прозоров Егор Александрович</t>
  </si>
  <si>
    <t xml:space="preserve">Петров Дмитрий Игоревич </t>
  </si>
  <si>
    <t>+7 919 903-89-12</t>
  </si>
  <si>
    <t>Kadyke5368@gmail.com</t>
  </si>
  <si>
    <t>1599629163</t>
  </si>
  <si>
    <t>НТЦ "Механик"</t>
  </si>
  <si>
    <t>Летучий Ёж</t>
  </si>
  <si>
    <t xml:space="preserve">Добросинец Роман Борисович </t>
  </si>
  <si>
    <t xml:space="preserve">Маврин Кирилл Александрович </t>
  </si>
  <si>
    <t>+7 919 916-18-45</t>
  </si>
  <si>
    <t>maverik161845@gmail.com</t>
  </si>
  <si>
    <t>1599510608</t>
  </si>
  <si>
    <t>Почти девятка йоу</t>
  </si>
  <si>
    <t>Гадельяров Тимур Мунирович</t>
  </si>
  <si>
    <t>1599374963</t>
  </si>
  <si>
    <t>Поволожский государственный технологический университет, АНО ВО «Русский университет метатехнологий», Лицей "Инфотех"</t>
  </si>
  <si>
    <t>CopterBull</t>
  </si>
  <si>
    <t>Андрей Михайлович Шелеметев</t>
  </si>
  <si>
    <t>Герц Надежда Евгеньевна</t>
  </si>
  <si>
    <t>Калинин Константин Олегович</t>
  </si>
  <si>
    <t>Хаснулин Роман Александрович</t>
  </si>
  <si>
    <t>+7 902 738-57-60</t>
  </si>
  <si>
    <t>nadezhdahertz@gmail.com</t>
  </si>
  <si>
    <t>1599311432</t>
  </si>
  <si>
    <t xml:space="preserve">АО Концерн Калашников </t>
  </si>
  <si>
    <t xml:space="preserve">Лялина Ирина Алексеевна </t>
  </si>
  <si>
    <t>+7 950 836-35-50</t>
  </si>
  <si>
    <t>lyalina6969@mail.ru</t>
  </si>
  <si>
    <t>1598955799</t>
  </si>
  <si>
    <t>Концерн "Калашников"</t>
  </si>
  <si>
    <t>Анисимов Максим Юрьевич</t>
  </si>
  <si>
    <t>+7 912 757-81-96</t>
  </si>
  <si>
    <t>zeze-zeze@bk.ru</t>
  </si>
  <si>
    <t>1598950840</t>
  </si>
  <si>
    <t>ИЖГТУ</t>
  </si>
  <si>
    <t>Чикс</t>
  </si>
  <si>
    <t>-</t>
  </si>
  <si>
    <t>Тойкин Фёдор Денисович</t>
  </si>
  <si>
    <t>Иванов Станислав Александрович</t>
  </si>
  <si>
    <t>Князев Егор Алексеевич</t>
  </si>
  <si>
    <t>+7 922 514-94-83</t>
  </si>
  <si>
    <t>tojkinfedor@gmail.com</t>
  </si>
  <si>
    <t>1598931217</t>
  </si>
  <si>
    <t>АО концерн "Калашников"</t>
  </si>
  <si>
    <t>Пушин Александр Александрович</t>
  </si>
  <si>
    <t>+7 996 693-04-11</t>
  </si>
  <si>
    <t>sasha.pushin.1992@mail.ru</t>
  </si>
  <si>
    <t>1598868449</t>
  </si>
  <si>
    <t xml:space="preserve">МБОУ ДО ИТЦ Форсайт </t>
  </si>
  <si>
    <t xml:space="preserve">Шестеренкт </t>
  </si>
  <si>
    <t xml:space="preserve">Костянко Алёна Олеговна </t>
  </si>
  <si>
    <t xml:space="preserve">Бушемелев Даниил Денисович </t>
  </si>
  <si>
    <t xml:space="preserve">Лопатин Александр Константинович </t>
  </si>
  <si>
    <t>+7 912 744-07-65</t>
  </si>
  <si>
    <t>kostyashka2015@mail.ru</t>
  </si>
  <si>
    <t>1598864642</t>
  </si>
  <si>
    <t xml:space="preserve">Мы не придумали </t>
  </si>
  <si>
    <t xml:space="preserve">Урсу Эвелина Антоновна </t>
  </si>
  <si>
    <t xml:space="preserve">Дурыманова Дарья Андреевна </t>
  </si>
  <si>
    <t>1598854382</t>
  </si>
  <si>
    <t xml:space="preserve">Шреки </t>
  </si>
  <si>
    <t xml:space="preserve">Метляков Георгий Константинович </t>
  </si>
  <si>
    <t xml:space="preserve">Ефремов Егор Константинович </t>
  </si>
  <si>
    <t>1598851316</t>
  </si>
  <si>
    <t xml:space="preserve">Алгебра </t>
  </si>
  <si>
    <t xml:space="preserve">Шакиров Амир Ильшатович </t>
  </si>
  <si>
    <t xml:space="preserve">Рогознев Александр Николаевич </t>
  </si>
  <si>
    <t>1598847983</t>
  </si>
  <si>
    <t>АО Концерн Калашников</t>
  </si>
  <si>
    <t>Борисов Константин Андреевич</t>
  </si>
  <si>
    <t>+7 982 837-84-33</t>
  </si>
  <si>
    <t>kostya.0212@yandex.ru</t>
  </si>
  <si>
    <t>1598847858</t>
  </si>
  <si>
    <t>NOVA</t>
  </si>
  <si>
    <t xml:space="preserve">Кулемалина Екатерина Анатольевна </t>
  </si>
  <si>
    <t>1598846395</t>
  </si>
  <si>
    <t xml:space="preserve">Джип </t>
  </si>
  <si>
    <t>Рудаков Никита Антонович</t>
  </si>
  <si>
    <t>Ямалеев Артур Айратович</t>
  </si>
  <si>
    <t>1598792422</t>
  </si>
  <si>
    <t>МБОУ ДО Станция юных техников Устиновского района</t>
  </si>
  <si>
    <t>Ежики</t>
  </si>
  <si>
    <t>Сунцов Павел Викторович/Ахметов Марат Наилевич</t>
  </si>
  <si>
    <t>Седов Александр Русланович</t>
  </si>
  <si>
    <t>Шампоров Александр Сергеевич</t>
  </si>
  <si>
    <t>Гаптрахимова Майя Маратовна</t>
  </si>
  <si>
    <t>+7 912 004-36-11</t>
  </si>
  <si>
    <t>akhmetovmn@gmail.com</t>
  </si>
  <si>
    <t>1598755377</t>
  </si>
  <si>
    <t>МБОУ ДО СЮТ Устиновского района</t>
  </si>
  <si>
    <t>Команда Станции 2</t>
  </si>
  <si>
    <t>Тронин Олег Рафаилович</t>
  </si>
  <si>
    <t>Чувашов Лев Юрьевич</t>
  </si>
  <si>
    <t>Бабушкин Алексей Анатольевич</t>
  </si>
  <si>
    <t>+7 963 548-31-25</t>
  </si>
  <si>
    <t>1598754096</t>
  </si>
  <si>
    <t>Команда Станции 1</t>
  </si>
  <si>
    <t>Мезрин Александр Петрович</t>
  </si>
  <si>
    <t>Гребенсков Матвей Михайлович</t>
  </si>
  <si>
    <t>+7 96354783125</t>
  </si>
  <si>
    <t>1597989655</t>
  </si>
  <si>
    <t>Кванториум Ижевск</t>
  </si>
  <si>
    <t xml:space="preserve">Qwick gang </t>
  </si>
  <si>
    <t>Добросинцев Роман Борисович</t>
  </si>
  <si>
    <t>Карпов Александр Дмитриевич</t>
  </si>
  <si>
    <t>+7 982 793-09-59</t>
  </si>
  <si>
    <t>skarpov787@mail.ru</t>
  </si>
  <si>
    <t>1597900318</t>
  </si>
  <si>
    <t xml:space="preserve">Академия Калашникова </t>
  </si>
  <si>
    <t>Песец</t>
  </si>
  <si>
    <t>Гавага Михаил Юрьевич</t>
  </si>
  <si>
    <t>Чернов Никита Григорьевич</t>
  </si>
  <si>
    <t>+7 922 506-22-77</t>
  </si>
  <si>
    <t>misha@gavaga.ru</t>
  </si>
  <si>
    <t>1597846990</t>
  </si>
  <si>
    <t>клуб робототехники и программирования Академия Гениев. Ижевск</t>
  </si>
  <si>
    <t>ЯрМи</t>
  </si>
  <si>
    <t>Вера Олеговна Башкирова</t>
  </si>
  <si>
    <t>Красноперов Ярослав</t>
  </si>
  <si>
    <t>+7 922 516-15-54</t>
  </si>
  <si>
    <t>BVOizh@yandex.ru</t>
  </si>
  <si>
    <t>1597842722</t>
  </si>
  <si>
    <t>клуб робототехники и программирования "Академия Гениев. Ижевск"</t>
  </si>
  <si>
    <t>Просто какие-то люди</t>
  </si>
  <si>
    <t xml:space="preserve">Тотьмянин Данил </t>
  </si>
  <si>
    <t xml:space="preserve">Смирнов Михаил </t>
  </si>
  <si>
    <t>1597789129</t>
  </si>
  <si>
    <t>клуб робототехники и программирования " Академия Гениев. Ижевск"</t>
  </si>
  <si>
    <t>Бэбрики</t>
  </si>
  <si>
    <t xml:space="preserve">Вешев Вадим </t>
  </si>
  <si>
    <t xml:space="preserve">Капустин Иван </t>
  </si>
  <si>
    <t>1596842370</t>
  </si>
  <si>
    <t>МБОУ ДО НТЦ Механик</t>
  </si>
  <si>
    <t>Рыбки</t>
  </si>
  <si>
    <t>Останин Андрей Алексеевич</t>
  </si>
  <si>
    <t>+7 912 018-88-97</t>
  </si>
  <si>
    <t>ostrandr093@gmail.com</t>
  </si>
  <si>
    <t>1595992312</t>
  </si>
  <si>
    <t>DKI</t>
  </si>
  <si>
    <t>Косолапов Данил Игоревич</t>
  </si>
  <si>
    <t>+7 950 823-94-36</t>
  </si>
  <si>
    <t>senior.cosolapov2015@yandex.ru</t>
  </si>
  <si>
    <t>1595462347</t>
  </si>
  <si>
    <t>Кванториум</t>
  </si>
  <si>
    <t>Для учёбы</t>
  </si>
  <si>
    <t>Романов Андрей Витальевич</t>
  </si>
  <si>
    <t>+7 951 191-40-04</t>
  </si>
  <si>
    <t>ar3554327@gmail.com</t>
  </si>
  <si>
    <t>1595415406</t>
  </si>
  <si>
    <t>Самолёт</t>
  </si>
  <si>
    <t>Романов Арсений Витальевич</t>
  </si>
  <si>
    <t>Дедюхин Егор Андреевич</t>
  </si>
  <si>
    <t>+7 912 876-26-83</t>
  </si>
  <si>
    <t>arsenijromanov371@gmail.com</t>
  </si>
  <si>
    <t>1595239137</t>
  </si>
  <si>
    <t>СЮТУР</t>
  </si>
  <si>
    <t>Ахметов Марат Наилевич</t>
  </si>
  <si>
    <t>Мерзин Максим Петрович</t>
  </si>
  <si>
    <t>Стерхов Артем Михайлович</t>
  </si>
  <si>
    <t>Зуев Альберт Марселевич</t>
  </si>
  <si>
    <t>1595135278</t>
  </si>
  <si>
    <t>ЧОУ ДО Академия  Калашников</t>
  </si>
  <si>
    <t>Сбус</t>
  </si>
  <si>
    <t xml:space="preserve">Сычёв Антон Владимирович </t>
  </si>
  <si>
    <t xml:space="preserve">Серебряков Артур Александрович </t>
  </si>
  <si>
    <t xml:space="preserve">Мальцев Артём Алексеевич </t>
  </si>
  <si>
    <t>Дерябин Богдан Алексеевич</t>
  </si>
  <si>
    <t>+7 950 837-75-80</t>
  </si>
  <si>
    <t>masterneflomaster@gmail.com</t>
  </si>
  <si>
    <t>1594898991</t>
  </si>
  <si>
    <t>АО "Ижевский мотозавод "Аксион-холдинг""</t>
  </si>
  <si>
    <t>Соколиный глаз</t>
  </si>
  <si>
    <t>Сапегин Дмитрий Александрович</t>
  </si>
  <si>
    <t>Воронцов Данил Сергеевич</t>
  </si>
  <si>
    <t>Лазарев Михаил Олегович</t>
  </si>
  <si>
    <t>Кунгуров Павел Николаевич</t>
  </si>
  <si>
    <t>+7 950 167-00-61</t>
  </si>
  <si>
    <t>voron290995@mail.ru</t>
  </si>
  <si>
    <t>1594888568</t>
  </si>
  <si>
    <t>МУДО "Увинский ДДТ"</t>
  </si>
  <si>
    <t>Магнит</t>
  </si>
  <si>
    <t>Карачев Александр Николаевич</t>
  </si>
  <si>
    <t>Мусихин Кирилл Павлович</t>
  </si>
  <si>
    <t>Синцов Никита Владимирович</t>
  </si>
  <si>
    <t>+7 950 176-65-57</t>
  </si>
  <si>
    <t>karachev.ddt@mail.ru</t>
  </si>
  <si>
    <t>1594869186</t>
  </si>
  <si>
    <t>Стим</t>
  </si>
  <si>
    <t>Молчанов Тимофей Алексеевич</t>
  </si>
  <si>
    <t>Неустроев Роман Дмитриевич</t>
  </si>
  <si>
    <t>1594406714</t>
  </si>
  <si>
    <t>ЧОУ ДПО "Академия Калашников"</t>
  </si>
  <si>
    <t>Skittles</t>
  </si>
  <si>
    <t>Шивырталов Дмитрий Александрович</t>
  </si>
  <si>
    <t>+7 980 041-69-81</t>
  </si>
  <si>
    <t>dekur1683@gmail.com</t>
  </si>
  <si>
    <t>1594403126</t>
  </si>
  <si>
    <t>M&amp;M's</t>
  </si>
  <si>
    <t>Щерба Григорий Артемович</t>
  </si>
  <si>
    <t>+7 912 020-78-70</t>
  </si>
  <si>
    <t>grishinapochta8@gmail.com</t>
  </si>
  <si>
    <t>1594401088</t>
  </si>
  <si>
    <t>МТК</t>
  </si>
  <si>
    <t>Фастахиев Саид Ринатович</t>
  </si>
  <si>
    <t>+7 912 854-61-00</t>
  </si>
  <si>
    <t>saidfast8@gmail.com</t>
  </si>
  <si>
    <t>1594399910</t>
  </si>
  <si>
    <t>ЪУЪЕЪЯЪЕЪ</t>
  </si>
  <si>
    <t>Пилин Николай Алексеевич</t>
  </si>
  <si>
    <t>+7 919 911-58-67</t>
  </si>
  <si>
    <t>kotzilla2.0@mail.ru</t>
  </si>
  <si>
    <t>1594398768</t>
  </si>
  <si>
    <t>Загребин Вячеслав Максимович</t>
  </si>
  <si>
    <t>+7 912 468-09-23</t>
  </si>
  <si>
    <t>slvz2008@gmail.com</t>
  </si>
  <si>
    <t>1594398552</t>
  </si>
  <si>
    <t>ЧОУ ДПО ''Академия Калашников''</t>
  </si>
  <si>
    <t>Фрирен</t>
  </si>
  <si>
    <t>Кузнецов Михаил Иванович</t>
  </si>
  <si>
    <t>+7 919 907-03-83</t>
  </si>
  <si>
    <t>km094448@gmail.com</t>
  </si>
  <si>
    <t>1594396163</t>
  </si>
  <si>
    <t>Шихарев Максим Андреевич</t>
  </si>
  <si>
    <t>+7 950 171-88-15</t>
  </si>
  <si>
    <t>smamsa.220077@gmail.com</t>
  </si>
  <si>
    <t>1594396024</t>
  </si>
  <si>
    <t>Гайнуллин</t>
  </si>
  <si>
    <t>Гайнуллин Роман Ришатович</t>
  </si>
  <si>
    <t>+7 982 128-68-50</t>
  </si>
  <si>
    <t>romangajnullin490@gmail.com</t>
  </si>
  <si>
    <t>1594388418</t>
  </si>
  <si>
    <t>Иванов Артемий Сергеевич</t>
  </si>
  <si>
    <t>+7 904 278-93-43</t>
  </si>
  <si>
    <t>artemijivanov64@gmail.com</t>
  </si>
  <si>
    <t>1594387345</t>
  </si>
  <si>
    <t>Соколов Фёдор Денисович</t>
  </si>
  <si>
    <t>+7 909 059-49-44</t>
  </si>
  <si>
    <t>bozhiydarsok@yandex.ru</t>
  </si>
  <si>
    <t>1602613928</t>
  </si>
  <si>
    <t>ГБОУ УР "ЭМЛи № 29"</t>
  </si>
  <si>
    <t>GL</t>
  </si>
  <si>
    <t>Рылов Андрей Сергеевич</t>
  </si>
  <si>
    <t>Ардашев Николай Сергеевич</t>
  </si>
  <si>
    <t>Чураков Михаил Алексанрович</t>
  </si>
  <si>
    <t>Кособоков Кирилл Алексанрович</t>
  </si>
  <si>
    <t>+7 950 818-16-13</t>
  </si>
  <si>
    <t>ireaperi@mail.ru</t>
  </si>
  <si>
    <t>1602613578</t>
  </si>
  <si>
    <t>ФГБОУ ВО ИжГТУ им. М.Т. Калашникова</t>
  </si>
  <si>
    <t>password1234567890</t>
  </si>
  <si>
    <t>Лекомцев Павел Валерьевич</t>
  </si>
  <si>
    <t>Смирнов Никита Юрьевич</t>
  </si>
  <si>
    <t>Рыков Глеб Дмитриевич</t>
  </si>
  <si>
    <t>Шахтарин Сергей Игоревич</t>
  </si>
  <si>
    <t>+7 912 459-64-98</t>
  </si>
  <si>
    <t>nic.smirnov2016@yandex.ru</t>
  </si>
  <si>
    <t>1602613425</t>
  </si>
  <si>
    <t>Васяева Наталья Семеновна</t>
  </si>
  <si>
    <t>Иванов Артем Владимирович</t>
  </si>
  <si>
    <t>Морохина Дарья Дмитриевна</t>
  </si>
  <si>
    <t>+7 902 743-33-48</t>
  </si>
  <si>
    <t>artyomivanovv@ya.ru</t>
  </si>
  <si>
    <t>1602612811</t>
  </si>
  <si>
    <t>esthetic robot</t>
  </si>
  <si>
    <t>Кутергин Михаил Александрович</t>
  </si>
  <si>
    <t>Ильин Альберт Алексеевич</t>
  </si>
  <si>
    <t>Гараев Дамир Ренатович</t>
  </si>
  <si>
    <t>1602611172</t>
  </si>
  <si>
    <t>BUBA</t>
  </si>
  <si>
    <t>Наговицын Александр Максимович</t>
  </si>
  <si>
    <t>Кузьмин Дмитрий Александрович</t>
  </si>
  <si>
    <t>Николаев Владислав Леонидович</t>
  </si>
  <si>
    <t>1602609784</t>
  </si>
  <si>
    <t>D7</t>
  </si>
  <si>
    <t>Михайлова Екатерина Ильинична</t>
  </si>
  <si>
    <t>Петрова Ульяна Вячеславовна</t>
  </si>
  <si>
    <t>1602608008</t>
  </si>
  <si>
    <t>Потом решу</t>
  </si>
  <si>
    <t>Пинегин Игорь Павлович</t>
  </si>
  <si>
    <t>Загидуллин Тахир Камилевич</t>
  </si>
  <si>
    <t>1602606623</t>
  </si>
  <si>
    <t>TOBOT</t>
  </si>
  <si>
    <t>Киреев Степан Андреевич</t>
  </si>
  <si>
    <t>Наговицын Валерий Александрович</t>
  </si>
  <si>
    <t>Васильев Артём Дмитриевич</t>
  </si>
  <si>
    <t>1602604631</t>
  </si>
  <si>
    <t>Колесо</t>
  </si>
  <si>
    <t>Корепанов Даниил Денисович</t>
  </si>
  <si>
    <t>Ельцов Елисей Вячеславович</t>
  </si>
  <si>
    <t>Сунцов Тимур Ильгизович</t>
  </si>
  <si>
    <t>1602602684</t>
  </si>
  <si>
    <t>1000-7</t>
  </si>
  <si>
    <t>Рыкова Эмма-Алисия Валерьевна</t>
  </si>
  <si>
    <t>Коростин Николай Андреевич</t>
  </si>
  <si>
    <t>1602576707</t>
  </si>
  <si>
    <t>Инженеры</t>
  </si>
  <si>
    <t>Петров Роман Дмитриевич</t>
  </si>
  <si>
    <t>Бородин Артём Алексеевич</t>
  </si>
  <si>
    <t>1602574158</t>
  </si>
  <si>
    <t>БПОУ УР "Ижевский индустриальный техникум им. Е.Ф.Драгунова"</t>
  </si>
  <si>
    <t>ИИТ</t>
  </si>
  <si>
    <t>Рычков Дмитрий Владимирович</t>
  </si>
  <si>
    <t xml:space="preserve">Крюков Григорий Константинович </t>
  </si>
  <si>
    <t>Вечеркин Дмитрий Викторович</t>
  </si>
  <si>
    <t>Трофимов Артём Рувшанович</t>
  </si>
  <si>
    <t>+7 999 228-23-67</t>
  </si>
  <si>
    <t>dima.rychkov.2000@mail.ru</t>
  </si>
  <si>
    <t>1602569478</t>
  </si>
  <si>
    <t>АОУ УР "РОЦОД" РДТ Кванториум</t>
  </si>
  <si>
    <t>Глухова Инна Андреевна</t>
  </si>
  <si>
    <t>Соловьев Ярослав Андреевич</t>
  </si>
  <si>
    <t>+7 912 751-94-96</t>
  </si>
  <si>
    <t>gluxova_inna@mail.ru</t>
  </si>
  <si>
    <t>1602569062</t>
  </si>
  <si>
    <t xml:space="preserve">ФГБОУ ВО "Удмуртский государственный университет" </t>
  </si>
  <si>
    <t>Ротор</t>
  </si>
  <si>
    <t xml:space="preserve">Ветчанин Евгений Владимирович </t>
  </si>
  <si>
    <t xml:space="preserve">Мокрушина Лидия Николаевна </t>
  </si>
  <si>
    <t>+7 912 453-97-55</t>
  </si>
  <si>
    <t>lmokrush@mail.ru</t>
  </si>
  <si>
    <t>1602560760</t>
  </si>
  <si>
    <t>Delta</t>
  </si>
  <si>
    <t>Юртиков Роман Алексеевич</t>
  </si>
  <si>
    <t>Гагарин Александр Вячеславович</t>
  </si>
  <si>
    <t>+7 982 997-93-55</t>
  </si>
  <si>
    <t>gagarinav18@mail.ru</t>
  </si>
  <si>
    <t>1602529260</t>
  </si>
  <si>
    <t>ГБОУ УР "Экономико-математический лицей №29"</t>
  </si>
  <si>
    <t>ЯКаДрей 29</t>
  </si>
  <si>
    <t>Нечитайло Александр Борисович</t>
  </si>
  <si>
    <t>Леонов Яков Михайлович</t>
  </si>
  <si>
    <t>Сунцов Климентий Андреевич</t>
  </si>
  <si>
    <t>Маштаков Андрей Александрович</t>
  </si>
  <si>
    <t>+7 912 858-17-11</t>
  </si>
  <si>
    <t>militilitram@gmail.com</t>
  </si>
  <si>
    <t>1602523736</t>
  </si>
  <si>
    <t>ДмиСаИл 29</t>
  </si>
  <si>
    <t>Торхов Илья Михайлович</t>
  </si>
  <si>
    <t>Иванов Савелий Леонидович</t>
  </si>
  <si>
    <t>Гунин Дмитрий Михайлович</t>
  </si>
  <si>
    <t>1602520237</t>
  </si>
  <si>
    <t>Ганиев Карим Ильшатович</t>
  </si>
  <si>
    <t>1602515074</t>
  </si>
  <si>
    <t>МаМиГор 29</t>
  </si>
  <si>
    <t>Леонов Михаил Александрович</t>
  </si>
  <si>
    <t>Карлов Максим Владимирович</t>
  </si>
  <si>
    <t>Сентябов Егор Константинович</t>
  </si>
  <si>
    <t>1602510545</t>
  </si>
  <si>
    <t>NikOl</t>
  </si>
  <si>
    <t>Говердовский Олег Владиславович</t>
  </si>
  <si>
    <t>1602509806</t>
  </si>
  <si>
    <t>Терминаторы 29</t>
  </si>
  <si>
    <t>Кораблинов Артем Дмитриевич</t>
  </si>
  <si>
    <t>Габдуллин Амир Артурович</t>
  </si>
  <si>
    <t>Пудов Егор Ильич</t>
  </si>
  <si>
    <t>1602505042</t>
  </si>
  <si>
    <t>Новосибирский Государственный Технический Университет</t>
  </si>
  <si>
    <t>Wolframe lite</t>
  </si>
  <si>
    <t>Алексей Александрович Цыгулин</t>
  </si>
  <si>
    <t>Павлова Виолетта Александровна</t>
  </si>
  <si>
    <t>+7 913 916-38-40</t>
  </si>
  <si>
    <t>cygulin@corp.nstu.ru</t>
  </si>
  <si>
    <t>1602504457</t>
  </si>
  <si>
    <t>Один</t>
  </si>
  <si>
    <t>Гудыма София Сергеевна</t>
  </si>
  <si>
    <t>1602503900</t>
  </si>
  <si>
    <t>Яровит</t>
  </si>
  <si>
    <t>Посохов Кирилл Михайлович</t>
  </si>
  <si>
    <t>1602503466</t>
  </si>
  <si>
    <t>R2-D2 29</t>
  </si>
  <si>
    <t>Ходырев Максим Андреевич</t>
  </si>
  <si>
    <t>Копылов Кирилл Алексеевич</t>
  </si>
  <si>
    <t>Корепанова Екатерина Романовна</t>
  </si>
  <si>
    <t>1602401058</t>
  </si>
  <si>
    <t>Школа 74</t>
  </si>
  <si>
    <t>Хищник</t>
  </si>
  <si>
    <t>Волков Евгений Михайлович</t>
  </si>
  <si>
    <t xml:space="preserve">Мусатов Кирилл Романович </t>
  </si>
  <si>
    <t>Трубачев Матвей Владимирович</t>
  </si>
  <si>
    <t>+7 909 062-85-94</t>
  </si>
  <si>
    <t>robotSchool74@yandex.ru</t>
  </si>
  <si>
    <t>1602399297</t>
  </si>
  <si>
    <t>СРЦН Увинского района</t>
  </si>
  <si>
    <t>Юсупов Карим Дамирович</t>
  </si>
  <si>
    <t>Зайцев Пётр Андреевич</t>
  </si>
  <si>
    <t>+7 912 769-59-90</t>
  </si>
  <si>
    <t>klanvlad@mail.ru</t>
  </si>
  <si>
    <t>1602398707</t>
  </si>
  <si>
    <t>Юсупов Ильдар Дамирович</t>
  </si>
  <si>
    <t>1602398116</t>
  </si>
  <si>
    <t>Морозов Иван Алексеевич</t>
  </si>
  <si>
    <t>1602397501</t>
  </si>
  <si>
    <t>Соколова Диана Романовна</t>
  </si>
  <si>
    <t>1602396840</t>
  </si>
  <si>
    <t>Коник Михаил Александрович</t>
  </si>
  <si>
    <t>1602394960</t>
  </si>
  <si>
    <t>Григорьева Анастасия Александровна</t>
  </si>
  <si>
    <t>1602341549</t>
  </si>
  <si>
    <t>Колёсики</t>
  </si>
  <si>
    <t>Котляков Матвей Сергеевич</t>
  </si>
  <si>
    <t>Ворожцов Александр Денисович</t>
  </si>
  <si>
    <t>Востриков Арсений Сергеевич</t>
  </si>
  <si>
    <t>+7 929 277-67-80</t>
  </si>
  <si>
    <t>kotmots@mail.ru</t>
  </si>
  <si>
    <t>1602277578</t>
  </si>
  <si>
    <t>МБОУ ДО НТЦ «Механик»</t>
  </si>
  <si>
    <t>Летающий пингвин</t>
  </si>
  <si>
    <t xml:space="preserve">Юрлов Илья Павлович </t>
  </si>
  <si>
    <t>+7 912 465-18-15</t>
  </si>
  <si>
    <t>skalskaya@inbox.ru</t>
  </si>
  <si>
    <t>1602243923</t>
  </si>
  <si>
    <t>СУ-25</t>
  </si>
  <si>
    <t>Роман  Добросинец</t>
  </si>
  <si>
    <t>Колпащиков Егор Денисович</t>
  </si>
  <si>
    <t>+7 912 766-12-12</t>
  </si>
  <si>
    <t>nakolpash@mail.ru</t>
  </si>
  <si>
    <t>1602239777</t>
  </si>
  <si>
    <t>Муниципальное бюджетное учреждение дополнительного образования «Центр детского (юношеского) технического творчества»</t>
  </si>
  <si>
    <t>СТМ</t>
  </si>
  <si>
    <t>Хоробров Александр Сергеевич</t>
  </si>
  <si>
    <t>Кибардин Тимофей Тихонович</t>
  </si>
  <si>
    <t>Гаревских Богдан Дмитриевич</t>
  </si>
  <si>
    <t>Беркутов Григорий Александрович</t>
  </si>
  <si>
    <t>+7 999 189-74-52</t>
  </si>
  <si>
    <t>zentrtehnik@sarap-obr.udmr.ru</t>
  </si>
  <si>
    <t>1602228381</t>
  </si>
  <si>
    <t>СЮИ</t>
  </si>
  <si>
    <t>Салимов Эдуард Фаритович</t>
  </si>
  <si>
    <t>1602188852</t>
  </si>
  <si>
    <t>ЧОУ ДО "Академия Калашников"</t>
  </si>
  <si>
    <t>Клековкин Н.С</t>
  </si>
  <si>
    <t>Клековкин Никита Сергеевич</t>
  </si>
  <si>
    <t>+7 922 522-75-77</t>
  </si>
  <si>
    <t>nikitaklekovkin45507@gmail.com</t>
  </si>
  <si>
    <t>1602056529</t>
  </si>
  <si>
    <t>СЮТ Устиновского р-на г. Ижевска</t>
  </si>
  <si>
    <t>Чувашов Юрий Васильевич</t>
  </si>
  <si>
    <t>+7 909 061-11-12</t>
  </si>
  <si>
    <t>model@udm.ru</t>
  </si>
  <si>
    <t>1602041159</t>
  </si>
  <si>
    <t>Ветров И.Г.</t>
  </si>
  <si>
    <t>Ветров Илья Григорьевич</t>
  </si>
  <si>
    <t>+7 982 830-60-68</t>
  </si>
  <si>
    <t>vetrowv.i@ya.ru</t>
  </si>
  <si>
    <t>1602006517</t>
  </si>
  <si>
    <t>МБОУ "ИТ-лицей№24"/МБОУ "СОШ №72"</t>
  </si>
  <si>
    <t>Сороконожка</t>
  </si>
  <si>
    <t>Опарина Полина</t>
  </si>
  <si>
    <t>Опарин Владислав</t>
  </si>
  <si>
    <t>1601889659</t>
  </si>
  <si>
    <t>Ижгту</t>
  </si>
  <si>
    <t xml:space="preserve">Карачев Григорий Васильевич </t>
  </si>
  <si>
    <t>+7 993 530-80-61</t>
  </si>
  <si>
    <t>grisakaracev@gmail.com</t>
  </si>
  <si>
    <t>1601868752</t>
  </si>
  <si>
    <t xml:space="preserve">ИНПО ИжГТУ </t>
  </si>
  <si>
    <t>Алексеев Григорий Викторович</t>
  </si>
  <si>
    <t>+7 919 912-32-03</t>
  </si>
  <si>
    <t>alekseevgrisa849@gmail.com</t>
  </si>
  <si>
    <t>1601866629</t>
  </si>
  <si>
    <t>МБОУ ДО НТЦ "Механик"</t>
  </si>
  <si>
    <t>FastFly</t>
  </si>
  <si>
    <t>Ситников Владимир Николаевич</t>
  </si>
  <si>
    <t>+7 912 053-73-47</t>
  </si>
  <si>
    <t>vns2010@bk.ru</t>
  </si>
  <si>
    <t>1601851578</t>
  </si>
  <si>
    <t>Академия "Калашников"</t>
  </si>
  <si>
    <t>Olivetum</t>
  </si>
  <si>
    <t>Воротов Владимир Сергеевич</t>
  </si>
  <si>
    <t>+7 963 544-59-05</t>
  </si>
  <si>
    <t>bogdder@gmail.com</t>
  </si>
  <si>
    <t>1601823352</t>
  </si>
  <si>
    <t>Фтор Знает</t>
  </si>
  <si>
    <t>Мельникова Анна Владимировна</t>
  </si>
  <si>
    <t>Кузнецова Алеся Ивановна</t>
  </si>
  <si>
    <t>+7 912 871-87-45</t>
  </si>
  <si>
    <t>a.melnikova2306@mail.ru</t>
  </si>
  <si>
    <t>1601821396</t>
  </si>
  <si>
    <t>Рыдкина Анна Александровна</t>
  </si>
  <si>
    <t>1601819179</t>
  </si>
  <si>
    <t>Рыдкин Артем Александрович</t>
  </si>
  <si>
    <t>1601788856</t>
  </si>
  <si>
    <t>WAWDH</t>
  </si>
  <si>
    <t>Мартынова Юлия Антонова</t>
  </si>
  <si>
    <t>Осипова Ярослава Сергеевна</t>
  </si>
  <si>
    <t>Кузнецова Софья Андреевна</t>
  </si>
  <si>
    <t>+7 919 914-13-75</t>
  </si>
  <si>
    <t>julya.an.mart@gmail.com</t>
  </si>
  <si>
    <t>1601685498</t>
  </si>
  <si>
    <t>ТехноЛидеры</t>
  </si>
  <si>
    <t>Баранов Савелий Андреевич</t>
  </si>
  <si>
    <t>Хвастунов Ян Владиславович</t>
  </si>
  <si>
    <t>1601676517</t>
  </si>
  <si>
    <t>АВТОНОМНАЯ НЕКОММЕРЧЕСКАЯ ОРГАНИЗАЦИЯ ОБЩЕОБРАЗОВАТЕЛЬНАЯ ОРГАНИЗАЦИЯ ЛИЦЕЙ ИНФОРМАЦИОННЫХ ТЕХНОЛОГИЙ "ИНФОТЕХ"</t>
  </si>
  <si>
    <t>Вспыш</t>
  </si>
  <si>
    <t>Шелеметьев Андрей Михайлович</t>
  </si>
  <si>
    <t>Катягин Дмитрий Александрович</t>
  </si>
  <si>
    <t>Садовин Артём Сергеевич</t>
  </si>
  <si>
    <t>+7 917 719-73-17</t>
  </si>
  <si>
    <t>d.katyagin@yandex.ru</t>
  </si>
  <si>
    <t>1601663153</t>
  </si>
  <si>
    <t>1601640916</t>
  </si>
  <si>
    <t>Мусатов Кирилл Романович</t>
  </si>
  <si>
    <t>1601537788</t>
  </si>
  <si>
    <t>Thedrones</t>
  </si>
  <si>
    <t>Коршунова Надежда Валерьевна</t>
  </si>
  <si>
    <t>Журавлёв Артём Владимирович</t>
  </si>
  <si>
    <t>+7 951 197-58-80</t>
  </si>
  <si>
    <t>artem007net@gmail.com</t>
  </si>
  <si>
    <t>1601465507</t>
  </si>
  <si>
    <t>ГАУ ДО ТО «РИО-Центр»</t>
  </si>
  <si>
    <t>ЦРТиАСУ</t>
  </si>
  <si>
    <t>Шабалин Кирилл Владимирович</t>
  </si>
  <si>
    <t>Сунцов Андрей Николаевич</t>
  </si>
  <si>
    <t>Губанов Сергей Александрович</t>
  </si>
  <si>
    <t>Шапошников Егор Валерьевич</t>
  </si>
  <si>
    <t>+7 912 387-81-60</t>
  </si>
  <si>
    <t>iagami35@mail.ru</t>
  </si>
  <si>
    <t>1601382527</t>
  </si>
  <si>
    <t>Т1000</t>
  </si>
  <si>
    <t>Блохин Александр Игоревич</t>
  </si>
  <si>
    <t>Огородов Владислав Константинович</t>
  </si>
  <si>
    <t>1601051212</t>
  </si>
  <si>
    <t>ГАНОУ СО Дворец молодежи, д/т Кванториум</t>
  </si>
  <si>
    <t>Полет без границ</t>
  </si>
  <si>
    <t>Мишарина Анна Сергеевна</t>
  </si>
  <si>
    <t>Алексеев Михаил Алексеевич</t>
  </si>
  <si>
    <t>+7 922 118-32-06</t>
  </si>
  <si>
    <t>hm-anna@mail.ru</t>
  </si>
  <si>
    <t>1601050154</t>
  </si>
  <si>
    <t>GeoFly</t>
  </si>
  <si>
    <t>Мухаметов Тимур Ришатович</t>
  </si>
  <si>
    <t>Канунников Андрей Алексеевич</t>
  </si>
  <si>
    <t>Копеев Егор Евгеньевич</t>
  </si>
  <si>
    <t>1601045606</t>
  </si>
  <si>
    <t>ГАНОУ СО "Дворец молодежи", д/т Кванториум</t>
  </si>
  <si>
    <t>Лысцов Святослав Юрьевич</t>
  </si>
  <si>
    <t>1601042037</t>
  </si>
  <si>
    <t>#Естьталант</t>
  </si>
  <si>
    <t>Симонов Матвей Ильич</t>
  </si>
  <si>
    <t>Арбузов Платон Алексеевич</t>
  </si>
  <si>
    <t>Першин Алексей Николаевич</t>
  </si>
  <si>
    <t>1601038991</t>
  </si>
  <si>
    <t>1600850925</t>
  </si>
  <si>
    <t>Шмыков Руслан Сергеевич</t>
  </si>
  <si>
    <t>1600848508</t>
  </si>
  <si>
    <t>Русинов Макар Робертович</t>
  </si>
  <si>
    <t>1600824955</t>
  </si>
  <si>
    <t xml:space="preserve">МБОУ ДО станция юных техников устиновского района </t>
  </si>
  <si>
    <t>СЮТУР2</t>
  </si>
  <si>
    <t xml:space="preserve">Ахметов Марат Наилевич </t>
  </si>
  <si>
    <t xml:space="preserve">Шадрин Матвей Дмитриевич </t>
  </si>
  <si>
    <t xml:space="preserve">Кассихин Артем Сергеевич </t>
  </si>
  <si>
    <t>Галиакберов Дамир Рашидович</t>
  </si>
  <si>
    <t>1594055081</t>
  </si>
  <si>
    <t>МБОУ ДО СЮТ Устиновского района г. Ижевска</t>
  </si>
  <si>
    <t>1593319311</t>
  </si>
  <si>
    <t>АКСИОН + ЛИЦЕЙ №41</t>
  </si>
  <si>
    <t>Гиперкуб</t>
  </si>
  <si>
    <t>Сапегина Алиса Дмитриевна</t>
  </si>
  <si>
    <t>Коротаева Елена Вячеславовна</t>
  </si>
  <si>
    <t>+7 912 858-99-36</t>
  </si>
  <si>
    <t>sapirz@mail.ru</t>
  </si>
  <si>
    <t>1593033441</t>
  </si>
  <si>
    <t>Непобедимые</t>
  </si>
  <si>
    <t>Гырдымов Владимир Васильевич</t>
  </si>
  <si>
    <t>Касаткин Вадим Андреевич</t>
  </si>
  <si>
    <t>1593029138</t>
  </si>
  <si>
    <t>Тритон</t>
  </si>
  <si>
    <t>Торхов Егор Дмитриевич</t>
  </si>
  <si>
    <t>Тюлькин Даниил Сергеевич</t>
  </si>
  <si>
    <t>Новокшенов Даниил Иванович</t>
  </si>
  <si>
    <t>1591731959</t>
  </si>
  <si>
    <t>МБОУ ДО НЦТ "Механик"</t>
  </si>
  <si>
    <t>Нет</t>
  </si>
  <si>
    <t>Фахреев Дамир Ильдарович</t>
  </si>
  <si>
    <t>+7 906 819-71-68</t>
  </si>
  <si>
    <t>anastasia.fhr@gmail.com</t>
  </si>
  <si>
    <t>1590224353</t>
  </si>
  <si>
    <t>Весёлое участие</t>
  </si>
  <si>
    <t>Роман Добросинец Борисович</t>
  </si>
  <si>
    <t>Кузнецов Александр Борисович</t>
  </si>
  <si>
    <t>+7 912 011-71-79</t>
  </si>
  <si>
    <t>2kedra@mail.ru</t>
  </si>
  <si>
    <t>1587504348</t>
  </si>
  <si>
    <t>Частное лицо</t>
  </si>
  <si>
    <t>Робовиста</t>
  </si>
  <si>
    <t>Яковлев Андрей Михайлович</t>
  </si>
  <si>
    <t>Яковлев Владислав Андреевич</t>
  </si>
  <si>
    <t>+7 904 311-07-43</t>
  </si>
  <si>
    <t>soroksorok21@gmail.com</t>
  </si>
  <si>
    <t>1577599987</t>
  </si>
  <si>
    <t>1577444245</t>
  </si>
  <si>
    <t>АОУ УР "РОЦОД" РДТ "Кванториум"</t>
  </si>
  <si>
    <t>МИ5</t>
  </si>
  <si>
    <t>Янчурина Гульнара Дульфакровна</t>
  </si>
  <si>
    <t>Золотарева Мария Сергеевна</t>
  </si>
  <si>
    <t>Пушкарев Иван Константинович</t>
  </si>
  <si>
    <t>pedagogntm@gmail.com</t>
  </si>
  <si>
    <t>1577002635</t>
  </si>
  <si>
    <t>Квантики</t>
  </si>
  <si>
    <t>Пинегин Ефим Антонович</t>
  </si>
  <si>
    <t>Ехлаков Ярослав Андреевич</t>
  </si>
  <si>
    <t>1573729339</t>
  </si>
  <si>
    <t>Лицей информационных технологий "Инфотех"</t>
  </si>
  <si>
    <t>ИнфотехFly</t>
  </si>
  <si>
    <t xml:space="preserve">Шелеметьев Андрей Михайлович </t>
  </si>
  <si>
    <t xml:space="preserve">Усков Николай Владимирович </t>
  </si>
  <si>
    <t>+7 927 889-53-66</t>
  </si>
  <si>
    <t>nikolay.uskov8@gmail.com</t>
  </si>
  <si>
    <t>Мобильные роботы, Лига Лего, Дистанционное управление</t>
  </si>
  <si>
    <t>Номер</t>
  </si>
  <si>
    <t>Участие в других направлениях</t>
  </si>
  <si>
    <t>Организация</t>
  </si>
  <si>
    <t>ФИО руководителя</t>
  </si>
  <si>
    <t>Людей в команде</t>
  </si>
  <si>
    <t xml:space="preserve">ФИО участника 1 </t>
  </si>
  <si>
    <t xml:space="preserve">ФИО участника 2 </t>
  </si>
  <si>
    <t>ФИО участника 3</t>
  </si>
  <si>
    <t>ЛЛА</t>
  </si>
  <si>
    <t>ЛЛА, Л2Д, Л2А</t>
  </si>
  <si>
    <t>ЛЛД</t>
  </si>
  <si>
    <t>"Академия Гениев. Ижевск"</t>
  </si>
  <si>
    <t>ЛЛД, Л2Д, Л2А</t>
  </si>
  <si>
    <t>ЛЛД, ФК</t>
  </si>
  <si>
    <t>ЛЛА, ФК</t>
  </si>
  <si>
    <t>Мобильные роботы, Лига Лего, Автономное управление</t>
  </si>
  <si>
    <t>Мобильные роботы, Лига 2, Дистанционное управление</t>
  </si>
  <si>
    <t>ЛБР</t>
  </si>
  <si>
    <t>Л2А</t>
  </si>
  <si>
    <t>Л2А, ЛБР, ДРМини</t>
  </si>
  <si>
    <t>Л2А, ЛБР</t>
  </si>
  <si>
    <t>ПО, Л2А, ЛБР</t>
  </si>
  <si>
    <t>Л2Д, Л2А, ЛБР</t>
  </si>
  <si>
    <t>Мобильные роботы, Лига 2, Автономное управление</t>
  </si>
  <si>
    <t>Л2Д</t>
  </si>
  <si>
    <t>ПО, ЛБР</t>
  </si>
  <si>
    <t>Л2Д, ЛБР</t>
  </si>
  <si>
    <t>Л2Д,ЛБР</t>
  </si>
  <si>
    <t>ЛЛД,ЛЛА,Л2Д</t>
  </si>
  <si>
    <t>ПО, Л2Д, ЛБР</t>
  </si>
  <si>
    <t>Мобильные роботы, Лига боевых роботов</t>
  </si>
  <si>
    <t>ДР</t>
  </si>
  <si>
    <t>ПО, Л2А</t>
  </si>
  <si>
    <t>Л2Д, Л2А</t>
  </si>
  <si>
    <t>Л2Д, Л2А, ДРмини</t>
  </si>
  <si>
    <t>ПО, Л2Д, Л2А</t>
  </si>
  <si>
    <t>Дрмини, ДР, ФВ</t>
  </si>
  <si>
    <t>Мобильные роботы, Фигурное катание</t>
  </si>
  <si>
    <t xml:space="preserve"> "ИНФОТЕХ"</t>
  </si>
  <si>
    <t>ФВ</t>
  </si>
  <si>
    <t>ЛЛД, ЛЛА</t>
  </si>
  <si>
    <t>ФК</t>
  </si>
  <si>
    <t>ДРмини, ДР</t>
  </si>
  <si>
    <t>ЛБР, ДРмини, ДР</t>
  </si>
  <si>
    <t>ДР, ФВ</t>
  </si>
  <si>
    <t>ДР, ЛБР, ФВ</t>
  </si>
  <si>
    <t>ДРМини</t>
  </si>
  <si>
    <t>ДРМини, ЛБР, ФВ</t>
  </si>
  <si>
    <t>Дрон-рейсинг</t>
  </si>
  <si>
    <t>Метательные авиамодели</t>
  </si>
  <si>
    <t>ДРМини, ДР</t>
  </si>
  <si>
    <t>ДР, МА</t>
  </si>
  <si>
    <t>ДРМини, МА</t>
  </si>
  <si>
    <t>МА</t>
  </si>
  <si>
    <t>Наговицын Артем Ильич</t>
  </si>
  <si>
    <t>Башкиров Вадим Александрович</t>
  </si>
  <si>
    <t>Ворончихин Андрей Максимович</t>
  </si>
  <si>
    <t>Задача</t>
  </si>
  <si>
    <t>Ответственный</t>
  </si>
  <si>
    <t>Написать программу для формирования файлов по направлениям из списка регистрации (+ автоформирование сертификатов участника)</t>
  </si>
  <si>
    <t>Количество нужных волонтеров</t>
  </si>
  <si>
    <t>Диляра, Антон К</t>
  </si>
  <si>
    <t>Тест новой платы на ПО</t>
  </si>
  <si>
    <t>Антон Н, Паша</t>
  </si>
  <si>
    <t>Определить место для Дронрейсинга, перечень необходимого оборудования (сетки, трос, трасса)</t>
  </si>
  <si>
    <t>все</t>
  </si>
  <si>
    <t>Проверить полигоны в Удгу - починить</t>
  </si>
  <si>
    <t>Полигоны для боев в ИжГТУ</t>
  </si>
  <si>
    <t>Полигон для ПО</t>
  </si>
  <si>
    <t>Подготовка полигона/места проведения соревнований металок</t>
  </si>
  <si>
    <t>Задания для Фигурного пилотирования и воздухоплавания</t>
  </si>
  <si>
    <t>Список организаций на выставку</t>
  </si>
  <si>
    <t>Приглашение партнеров (спонсоров)</t>
  </si>
  <si>
    <t>Приглашение представителей органов власти</t>
  </si>
  <si>
    <t>Отвественный за видеосъемку, ролики</t>
  </si>
  <si>
    <t>Приглашение Москвичей на судейство и участие в боях</t>
  </si>
  <si>
    <t>Экран с выводом в онлайне траеткории на ФК и ФВ</t>
  </si>
  <si>
    <t>Паша</t>
  </si>
  <si>
    <t>Рамка для установки камер, 6х4х3 м</t>
  </si>
  <si>
    <t>Задание на отбор ПО</t>
  </si>
  <si>
    <t>Полигон на финал ПО</t>
  </si>
  <si>
    <t>Переделка схемы на ПО</t>
  </si>
  <si>
    <t>Изменения в набор на ПО</t>
  </si>
  <si>
    <t>Антон, Диляра</t>
  </si>
  <si>
    <t>Техзона лиги 1.5 кг</t>
  </si>
  <si>
    <t>ПО</t>
  </si>
  <si>
    <t>ДРмини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</si>
</sst>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name val="Calibri"/>
    </font>
    <font>
      <sz val="16"/>
      <color theme="1"/>
      <name val="Calibri"/>
      <family val="2"/>
      <scheme val="minor"/>
    </font>
    <font>
      <sz val="11"/>
      <name val="Calibri"/>
      <family val="2"/>
      <charset val="204"/>
    </font>
    <font>
      <sz val="12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E599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2" xfId="0" applyBorder="1" applyAlignment="1">
      <alignment wrapText="1"/>
    </xf>
    <xf numFmtId="0" fontId="0" fillId="0" borderId="2" xfId="0" applyBorder="1"/>
    <xf numFmtId="0" fontId="4" fillId="0" borderId="2" xfId="0" applyFon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7" xfId="0" applyFill="1" applyBorder="1"/>
    <xf numFmtId="0" fontId="0" fillId="0" borderId="14" xfId="0" applyFill="1" applyBorder="1"/>
    <xf numFmtId="0" fontId="0" fillId="0" borderId="15" xfId="0" applyBorder="1"/>
    <xf numFmtId="0" fontId="4" fillId="0" borderId="2" xfId="0" applyFont="1" applyBorder="1" applyAlignment="1">
      <alignment wrapText="1"/>
    </xf>
    <xf numFmtId="0" fontId="0" fillId="0" borderId="7" xfId="0" applyBorder="1"/>
    <xf numFmtId="0" fontId="1" fillId="0" borderId="5" xfId="0" applyFont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  <xf numFmtId="0" fontId="5" fillId="0" borderId="5" xfId="0" applyFont="1" applyBorder="1" applyAlignment="1">
      <alignment wrapText="1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2BB86-071C-4415-930A-EC3A67F1B3D5}">
  <dimension ref="A1:B33"/>
  <sheetViews>
    <sheetView workbookViewId="0">
      <selection activeCell="E14" sqref="E14"/>
    </sheetView>
  </sheetViews>
  <sheetFormatPr defaultRowHeight="15" x14ac:dyDescent="0.25"/>
  <cols>
    <col min="1" max="1" width="102" customWidth="1"/>
    <col min="2" max="2" width="35.85546875" customWidth="1"/>
  </cols>
  <sheetData>
    <row r="1" spans="1:2" x14ac:dyDescent="0.25">
      <c r="A1" s="18" t="s">
        <v>994</v>
      </c>
      <c r="B1" s="18" t="s">
        <v>995</v>
      </c>
    </row>
    <row r="2" spans="1:2" x14ac:dyDescent="0.25">
      <c r="A2" s="18"/>
      <c r="B2" s="18"/>
    </row>
    <row r="3" spans="1:2" ht="30" x14ac:dyDescent="0.25">
      <c r="A3" s="18" t="s">
        <v>996</v>
      </c>
      <c r="B3" s="18"/>
    </row>
    <row r="4" spans="1:2" x14ac:dyDescent="0.25">
      <c r="A4" s="18" t="s">
        <v>997</v>
      </c>
      <c r="B4" s="18" t="s">
        <v>998</v>
      </c>
    </row>
    <row r="5" spans="1:2" x14ac:dyDescent="0.25">
      <c r="A5" s="18" t="s">
        <v>999</v>
      </c>
      <c r="B5" s="18" t="s">
        <v>1000</v>
      </c>
    </row>
    <row r="6" spans="1:2" x14ac:dyDescent="0.25">
      <c r="A6" s="19" t="s">
        <v>1001</v>
      </c>
      <c r="B6" s="19" t="s">
        <v>1002</v>
      </c>
    </row>
    <row r="7" spans="1:2" x14ac:dyDescent="0.25">
      <c r="A7" s="19" t="s">
        <v>1003</v>
      </c>
      <c r="B7" s="19"/>
    </row>
    <row r="8" spans="1:2" x14ac:dyDescent="0.25">
      <c r="A8" s="19" t="s">
        <v>1004</v>
      </c>
      <c r="B8" s="19"/>
    </row>
    <row r="9" spans="1:2" x14ac:dyDescent="0.25">
      <c r="A9" s="19" t="s">
        <v>1005</v>
      </c>
      <c r="B9" s="19"/>
    </row>
    <row r="10" spans="1:2" x14ac:dyDescent="0.25">
      <c r="A10" s="19" t="s">
        <v>1006</v>
      </c>
      <c r="B10" s="19"/>
    </row>
    <row r="11" spans="1:2" x14ac:dyDescent="0.25">
      <c r="A11" s="19" t="s">
        <v>1007</v>
      </c>
      <c r="B11" s="19"/>
    </row>
    <row r="12" spans="1:2" x14ac:dyDescent="0.25">
      <c r="A12" s="19" t="s">
        <v>1008</v>
      </c>
      <c r="B12" s="19"/>
    </row>
    <row r="13" spans="1:2" x14ac:dyDescent="0.25">
      <c r="A13" s="19" t="s">
        <v>1009</v>
      </c>
      <c r="B13" s="19"/>
    </row>
    <row r="14" spans="1:2" x14ac:dyDescent="0.25">
      <c r="A14" s="19" t="s">
        <v>1010</v>
      </c>
      <c r="B14" s="19"/>
    </row>
    <row r="15" spans="1:2" x14ac:dyDescent="0.25">
      <c r="A15" s="19" t="s">
        <v>1011</v>
      </c>
      <c r="B15" s="19"/>
    </row>
    <row r="16" spans="1:2" x14ac:dyDescent="0.25">
      <c r="A16" s="19" t="s">
        <v>1012</v>
      </c>
      <c r="B16" s="19"/>
    </row>
    <row r="17" spans="1:2" x14ac:dyDescent="0.25">
      <c r="A17" s="19" t="s">
        <v>1013</v>
      </c>
      <c r="B17" s="19" t="s">
        <v>1014</v>
      </c>
    </row>
    <row r="18" spans="1:2" x14ac:dyDescent="0.25">
      <c r="A18" s="19" t="s">
        <v>1015</v>
      </c>
      <c r="B18" s="19"/>
    </row>
    <row r="19" spans="1:2" x14ac:dyDescent="0.25">
      <c r="A19" s="20" t="s">
        <v>1016</v>
      </c>
      <c r="B19" s="19"/>
    </row>
    <row r="20" spans="1:2" x14ac:dyDescent="0.25">
      <c r="A20" s="19" t="s">
        <v>1017</v>
      </c>
      <c r="B20" s="19"/>
    </row>
    <row r="21" spans="1:2" x14ac:dyDescent="0.25">
      <c r="A21" s="19" t="s">
        <v>1018</v>
      </c>
      <c r="B21" s="19" t="s">
        <v>1014</v>
      </c>
    </row>
    <row r="22" spans="1:2" x14ac:dyDescent="0.25">
      <c r="A22" s="19" t="s">
        <v>1019</v>
      </c>
      <c r="B22" s="19" t="s">
        <v>1020</v>
      </c>
    </row>
    <row r="23" spans="1:2" ht="15.75" x14ac:dyDescent="0.25">
      <c r="A23" s="21" t="s">
        <v>1021</v>
      </c>
      <c r="B23" s="19"/>
    </row>
    <row r="24" spans="1:2" x14ac:dyDescent="0.25">
      <c r="A24" s="8"/>
      <c r="B24" s="8"/>
    </row>
    <row r="25" spans="1:2" x14ac:dyDescent="0.25">
      <c r="A25" s="8"/>
      <c r="B25" s="8"/>
    </row>
    <row r="26" spans="1:2" x14ac:dyDescent="0.25">
      <c r="A26" s="8"/>
      <c r="B26" s="8"/>
    </row>
    <row r="27" spans="1:2" x14ac:dyDescent="0.25">
      <c r="A27" s="8"/>
      <c r="B27" s="8"/>
    </row>
    <row r="28" spans="1:2" x14ac:dyDescent="0.25">
      <c r="A28" s="8"/>
      <c r="B28" s="8"/>
    </row>
    <row r="29" spans="1:2" x14ac:dyDescent="0.25">
      <c r="A29" s="8"/>
      <c r="B29" s="8"/>
    </row>
    <row r="30" spans="1:2" x14ac:dyDescent="0.25">
      <c r="A30" s="8"/>
      <c r="B30" s="8"/>
    </row>
    <row r="31" spans="1:2" x14ac:dyDescent="0.25">
      <c r="A31" s="8"/>
      <c r="B31" s="8"/>
    </row>
    <row r="32" spans="1:2" x14ac:dyDescent="0.25">
      <c r="A32" s="8"/>
      <c r="B32" s="8"/>
    </row>
    <row r="33" spans="1:2" x14ac:dyDescent="0.25">
      <c r="A33" s="8"/>
      <c r="B33" s="8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7"/>
  <sheetViews>
    <sheetView tabSelected="1" topLeftCell="A139" workbookViewId="0">
      <selection activeCell="I2" sqref="I2"/>
    </sheetView>
  </sheetViews>
  <sheetFormatPr defaultRowHeight="15" x14ac:dyDescent="0.25"/>
  <cols>
    <col min="1" max="1" width="11" bestFit="1" customWidth="1"/>
    <col min="2" max="2" width="6" bestFit="1" customWidth="1"/>
    <col min="3" max="3" width="7.28515625" bestFit="1" customWidth="1"/>
    <col min="4" max="4" width="7.140625" bestFit="1" customWidth="1"/>
    <col min="5" max="5" width="7" bestFit="1" customWidth="1"/>
    <col min="6" max="7" width="6.85546875" bestFit="1" customWidth="1"/>
    <col min="8" max="8" width="5.85546875" bestFit="1" customWidth="1"/>
    <col min="9" max="9" width="10.7109375" bestFit="1" customWidth="1"/>
    <col min="10" max="11" width="5.85546875" bestFit="1" customWidth="1"/>
    <col min="12" max="12" width="6.28515625" bestFit="1" customWidth="1"/>
    <col min="13" max="13" width="42.7109375" customWidth="1"/>
    <col min="14" max="14" width="21.140625" customWidth="1"/>
    <col min="15" max="15" width="31.28515625" customWidth="1"/>
    <col min="16" max="16" width="36.85546875" bestFit="1" customWidth="1"/>
    <col min="17" max="17" width="35.85546875" bestFit="1" customWidth="1"/>
    <col min="18" max="18" width="33.5703125" bestFit="1" customWidth="1"/>
    <col min="21" max="21" width="9.42578125" customWidth="1"/>
  </cols>
  <sheetData>
    <row r="1" spans="1:21" s="1" customFormat="1" x14ac:dyDescent="0.25">
      <c r="A1" t="s">
        <v>0</v>
      </c>
      <c r="B1" t="s">
        <v>1022</v>
      </c>
      <c r="C1" t="s">
        <v>947</v>
      </c>
      <c r="D1" t="s">
        <v>945</v>
      </c>
      <c r="E1" t="s">
        <v>961</v>
      </c>
      <c r="F1" t="s">
        <v>955</v>
      </c>
      <c r="G1" t="s">
        <v>954</v>
      </c>
      <c r="H1" t="s">
        <v>978</v>
      </c>
      <c r="I1" t="s">
        <v>1023</v>
      </c>
      <c r="J1" t="s">
        <v>968</v>
      </c>
      <c r="K1" t="s">
        <v>976</v>
      </c>
      <c r="L1" t="s">
        <v>990</v>
      </c>
      <c r="M1" t="s">
        <v>1</v>
      </c>
      <c r="N1" t="s">
        <v>2</v>
      </c>
      <c r="O1" t="s">
        <v>3</v>
      </c>
      <c r="P1" t="s">
        <v>4</v>
      </c>
      <c r="Q1" t="s">
        <v>5</v>
      </c>
      <c r="R1" t="s">
        <v>6</v>
      </c>
      <c r="S1" t="s">
        <v>7</v>
      </c>
      <c r="T1" t="s">
        <v>8</v>
      </c>
      <c r="U1" t="s">
        <v>9</v>
      </c>
    </row>
    <row r="2" spans="1:21" x14ac:dyDescent="0.25">
      <c r="A2" t="s">
        <v>10</v>
      </c>
      <c r="I2" t="s">
        <v>1023</v>
      </c>
      <c r="J2" t="s">
        <v>968</v>
      </c>
      <c r="M2" t="s">
        <v>11</v>
      </c>
      <c r="N2" t="s">
        <v>12</v>
      </c>
      <c r="O2" t="s">
        <v>13</v>
      </c>
      <c r="P2" t="s">
        <v>14</v>
      </c>
      <c r="S2" t="s">
        <v>15</v>
      </c>
      <c r="T2" t="s">
        <v>16</v>
      </c>
      <c r="U2" t="s">
        <v>17</v>
      </c>
    </row>
    <row r="3" spans="1:21" x14ac:dyDescent="0.25">
      <c r="A3" t="s">
        <v>18</v>
      </c>
      <c r="D3" t="s">
        <v>945</v>
      </c>
      <c r="M3" t="s">
        <v>19</v>
      </c>
      <c r="N3" t="s">
        <v>20</v>
      </c>
      <c r="O3" t="s">
        <v>21</v>
      </c>
      <c r="P3" t="s">
        <v>22</v>
      </c>
      <c r="S3" t="s">
        <v>23</v>
      </c>
      <c r="T3" t="s">
        <v>24</v>
      </c>
      <c r="U3" t="s">
        <v>17</v>
      </c>
    </row>
    <row r="4" spans="1:21" x14ac:dyDescent="0.25">
      <c r="A4" t="s">
        <v>25</v>
      </c>
      <c r="B4" t="s">
        <v>1022</v>
      </c>
      <c r="M4" t="s">
        <v>27</v>
      </c>
      <c r="N4" t="s">
        <v>28</v>
      </c>
      <c r="O4" t="s">
        <v>29</v>
      </c>
      <c r="P4" t="s">
        <v>30</v>
      </c>
      <c r="Q4" t="s">
        <v>31</v>
      </c>
      <c r="R4" t="s">
        <v>32</v>
      </c>
      <c r="S4" t="s">
        <v>33</v>
      </c>
      <c r="T4" t="s">
        <v>34</v>
      </c>
      <c r="U4" t="s">
        <v>17</v>
      </c>
    </row>
    <row r="5" spans="1:21" x14ac:dyDescent="0.25">
      <c r="A5" t="s">
        <v>35</v>
      </c>
      <c r="E5" t="s">
        <v>961</v>
      </c>
      <c r="G5" t="s">
        <v>954</v>
      </c>
      <c r="M5" t="s">
        <v>36</v>
      </c>
      <c r="N5" t="s">
        <v>37</v>
      </c>
      <c r="O5" t="s">
        <v>38</v>
      </c>
      <c r="P5" t="s">
        <v>39</v>
      </c>
      <c r="S5" t="s">
        <v>40</v>
      </c>
      <c r="T5" t="s">
        <v>41</v>
      </c>
      <c r="U5" t="s">
        <v>17</v>
      </c>
    </row>
    <row r="6" spans="1:21" x14ac:dyDescent="0.25">
      <c r="A6" t="s">
        <v>42</v>
      </c>
      <c r="C6" t="s">
        <v>947</v>
      </c>
      <c r="D6" t="s">
        <v>945</v>
      </c>
      <c r="M6" t="s">
        <v>43</v>
      </c>
      <c r="N6" t="s">
        <v>44</v>
      </c>
      <c r="O6" t="s">
        <v>45</v>
      </c>
      <c r="P6" t="s">
        <v>46</v>
      </c>
      <c r="S6" t="s">
        <v>47</v>
      </c>
      <c r="T6" t="s">
        <v>48</v>
      </c>
      <c r="U6" t="s">
        <v>17</v>
      </c>
    </row>
    <row r="7" spans="1:21" x14ac:dyDescent="0.25">
      <c r="A7" t="s">
        <v>49</v>
      </c>
      <c r="G7" t="s">
        <v>954</v>
      </c>
      <c r="M7" t="s">
        <v>50</v>
      </c>
      <c r="N7" t="s">
        <v>51</v>
      </c>
      <c r="O7" t="s">
        <v>52</v>
      </c>
      <c r="P7" t="s">
        <v>53</v>
      </c>
      <c r="Q7" t="s">
        <v>54</v>
      </c>
      <c r="R7" t="s">
        <v>55</v>
      </c>
      <c r="S7" t="s">
        <v>56</v>
      </c>
      <c r="T7" t="s">
        <v>57</v>
      </c>
      <c r="U7" t="s">
        <v>17</v>
      </c>
    </row>
    <row r="8" spans="1:21" x14ac:dyDescent="0.25">
      <c r="A8" t="s">
        <v>58</v>
      </c>
      <c r="B8" t="s">
        <v>1022</v>
      </c>
      <c r="M8" t="s">
        <v>27</v>
      </c>
      <c r="N8" t="s">
        <v>59</v>
      </c>
      <c r="O8" t="s">
        <v>60</v>
      </c>
      <c r="P8" t="s">
        <v>61</v>
      </c>
      <c r="Q8" t="s">
        <v>62</v>
      </c>
      <c r="R8" t="s">
        <v>63</v>
      </c>
      <c r="S8" t="s">
        <v>33</v>
      </c>
      <c r="T8" t="s">
        <v>34</v>
      </c>
      <c r="U8" t="s">
        <v>17</v>
      </c>
    </row>
    <row r="9" spans="1:21" x14ac:dyDescent="0.25">
      <c r="A9" t="s">
        <v>64</v>
      </c>
      <c r="G9" t="s">
        <v>954</v>
      </c>
      <c r="M9" t="s">
        <v>65</v>
      </c>
      <c r="N9" t="s">
        <v>66</v>
      </c>
      <c r="O9" t="s">
        <v>67</v>
      </c>
      <c r="P9" t="s">
        <v>67</v>
      </c>
      <c r="Q9" t="s">
        <v>68</v>
      </c>
      <c r="S9" t="s">
        <v>69</v>
      </c>
      <c r="T9" t="s">
        <v>70</v>
      </c>
      <c r="U9" t="s">
        <v>17</v>
      </c>
    </row>
    <row r="10" spans="1:21" x14ac:dyDescent="0.25">
      <c r="A10" t="s">
        <v>71</v>
      </c>
      <c r="E10" t="s">
        <v>961</v>
      </c>
      <c r="M10" t="s">
        <v>27</v>
      </c>
      <c r="N10" t="s">
        <v>72</v>
      </c>
      <c r="O10" t="s">
        <v>73</v>
      </c>
      <c r="P10" t="s">
        <v>74</v>
      </c>
      <c r="Q10" t="s">
        <v>75</v>
      </c>
      <c r="S10" t="s">
        <v>33</v>
      </c>
      <c r="T10" t="s">
        <v>76</v>
      </c>
      <c r="U10" t="s">
        <v>17</v>
      </c>
    </row>
    <row r="11" spans="1:21" x14ac:dyDescent="0.25">
      <c r="A11" t="s">
        <v>77</v>
      </c>
      <c r="E11" t="s">
        <v>961</v>
      </c>
      <c r="M11" t="s">
        <v>27</v>
      </c>
      <c r="N11" t="s">
        <v>78</v>
      </c>
      <c r="O11" t="s">
        <v>73</v>
      </c>
      <c r="P11" t="s">
        <v>79</v>
      </c>
      <c r="Q11" t="s">
        <v>80</v>
      </c>
      <c r="R11" t="s">
        <v>81</v>
      </c>
      <c r="S11" t="s">
        <v>33</v>
      </c>
      <c r="T11" t="s">
        <v>76</v>
      </c>
      <c r="U11" t="s">
        <v>17</v>
      </c>
    </row>
    <row r="12" spans="1:21" x14ac:dyDescent="0.25">
      <c r="A12" t="s">
        <v>82</v>
      </c>
      <c r="B12" t="s">
        <v>1022</v>
      </c>
      <c r="M12" t="s">
        <v>27</v>
      </c>
      <c r="N12" t="s">
        <v>83</v>
      </c>
      <c r="O12" t="s">
        <v>73</v>
      </c>
      <c r="P12" t="s">
        <v>84</v>
      </c>
      <c r="Q12" t="s">
        <v>85</v>
      </c>
      <c r="R12" t="s">
        <v>86</v>
      </c>
      <c r="S12" t="s">
        <v>33</v>
      </c>
      <c r="T12" t="s">
        <v>76</v>
      </c>
      <c r="U12" t="s">
        <v>17</v>
      </c>
    </row>
    <row r="13" spans="1:21" x14ac:dyDescent="0.25">
      <c r="A13" t="s">
        <v>87</v>
      </c>
      <c r="B13" t="s">
        <v>1022</v>
      </c>
      <c r="M13" t="s">
        <v>88</v>
      </c>
      <c r="N13" t="s">
        <v>89</v>
      </c>
      <c r="O13" t="s">
        <v>90</v>
      </c>
      <c r="P13" t="s">
        <v>91</v>
      </c>
      <c r="Q13" t="s">
        <v>92</v>
      </c>
      <c r="R13" t="s">
        <v>93</v>
      </c>
      <c r="S13" t="s">
        <v>94</v>
      </c>
      <c r="T13" t="s">
        <v>95</v>
      </c>
      <c r="U13" t="s">
        <v>17</v>
      </c>
    </row>
    <row r="14" spans="1:21" x14ac:dyDescent="0.25">
      <c r="A14" t="s">
        <v>96</v>
      </c>
      <c r="B14" t="s">
        <v>1022</v>
      </c>
      <c r="M14" t="s">
        <v>27</v>
      </c>
      <c r="N14" t="s">
        <v>97</v>
      </c>
      <c r="O14" t="s">
        <v>73</v>
      </c>
      <c r="P14" t="s">
        <v>98</v>
      </c>
      <c r="Q14" t="s">
        <v>99</v>
      </c>
      <c r="R14" t="s">
        <v>100</v>
      </c>
      <c r="S14" t="s">
        <v>33</v>
      </c>
      <c r="T14" t="s">
        <v>76</v>
      </c>
      <c r="U14" t="s">
        <v>17</v>
      </c>
    </row>
    <row r="15" spans="1:21" x14ac:dyDescent="0.25">
      <c r="A15" t="s">
        <v>101</v>
      </c>
      <c r="B15" t="s">
        <v>1022</v>
      </c>
      <c r="M15" t="s">
        <v>27</v>
      </c>
      <c r="N15" t="s">
        <v>102</v>
      </c>
      <c r="O15" t="s">
        <v>73</v>
      </c>
      <c r="P15" t="s">
        <v>103</v>
      </c>
      <c r="Q15" t="s">
        <v>104</v>
      </c>
      <c r="R15" t="s">
        <v>105</v>
      </c>
      <c r="S15" t="s">
        <v>33</v>
      </c>
      <c r="T15" t="s">
        <v>76</v>
      </c>
      <c r="U15" t="s">
        <v>17</v>
      </c>
    </row>
    <row r="16" spans="1:21" x14ac:dyDescent="0.25">
      <c r="A16" t="s">
        <v>106</v>
      </c>
      <c r="B16" t="s">
        <v>1022</v>
      </c>
      <c r="M16" t="s">
        <v>27</v>
      </c>
      <c r="N16" t="s">
        <v>107</v>
      </c>
      <c r="O16" t="s">
        <v>60</v>
      </c>
      <c r="P16" t="s">
        <v>108</v>
      </c>
      <c r="Q16" t="s">
        <v>109</v>
      </c>
      <c r="R16" t="s">
        <v>110</v>
      </c>
      <c r="S16" t="s">
        <v>33</v>
      </c>
      <c r="T16" t="s">
        <v>34</v>
      </c>
      <c r="U16" t="s">
        <v>17</v>
      </c>
    </row>
    <row r="17" spans="1:21" x14ac:dyDescent="0.25">
      <c r="A17" t="s">
        <v>111</v>
      </c>
      <c r="G17" t="s">
        <v>954</v>
      </c>
      <c r="M17" t="s">
        <v>112</v>
      </c>
      <c r="N17" t="s">
        <v>113</v>
      </c>
      <c r="O17" t="s">
        <v>114</v>
      </c>
      <c r="P17" t="s">
        <v>115</v>
      </c>
      <c r="Q17" t="s">
        <v>116</v>
      </c>
      <c r="R17" t="s">
        <v>117</v>
      </c>
      <c r="S17" t="s">
        <v>118</v>
      </c>
      <c r="T17" t="s">
        <v>119</v>
      </c>
      <c r="U17" t="s">
        <v>17</v>
      </c>
    </row>
    <row r="18" spans="1:21" x14ac:dyDescent="0.25">
      <c r="A18" t="s">
        <v>120</v>
      </c>
      <c r="F18" t="s">
        <v>955</v>
      </c>
      <c r="M18" t="s">
        <v>121</v>
      </c>
      <c r="N18" t="s">
        <v>122</v>
      </c>
      <c r="O18" t="s">
        <v>115</v>
      </c>
      <c r="P18" t="s">
        <v>115</v>
      </c>
      <c r="Q18" t="s">
        <v>117</v>
      </c>
      <c r="R18" t="s">
        <v>123</v>
      </c>
      <c r="S18" t="s">
        <v>118</v>
      </c>
      <c r="T18" t="s">
        <v>119</v>
      </c>
      <c r="U18" t="s">
        <v>17</v>
      </c>
    </row>
    <row r="19" spans="1:21" x14ac:dyDescent="0.25">
      <c r="A19" t="s">
        <v>124</v>
      </c>
      <c r="E19" t="s">
        <v>961</v>
      </c>
      <c r="M19" t="s">
        <v>125</v>
      </c>
      <c r="N19" t="s">
        <v>126</v>
      </c>
      <c r="O19" t="s">
        <v>115</v>
      </c>
      <c r="P19" t="s">
        <v>116</v>
      </c>
      <c r="Q19" t="s">
        <v>127</v>
      </c>
      <c r="R19" t="s">
        <v>128</v>
      </c>
      <c r="S19" t="s">
        <v>118</v>
      </c>
      <c r="T19" t="s">
        <v>119</v>
      </c>
      <c r="U19" t="s">
        <v>17</v>
      </c>
    </row>
    <row r="20" spans="1:21" x14ac:dyDescent="0.25">
      <c r="A20" t="s">
        <v>129</v>
      </c>
      <c r="G20" t="s">
        <v>954</v>
      </c>
      <c r="J20" t="s">
        <v>968</v>
      </c>
      <c r="M20" t="s">
        <v>130</v>
      </c>
      <c r="N20" t="s">
        <v>131</v>
      </c>
      <c r="O20" t="s">
        <v>132</v>
      </c>
      <c r="P20" t="s">
        <v>132</v>
      </c>
      <c r="S20" t="s">
        <v>133</v>
      </c>
      <c r="T20" t="s">
        <v>134</v>
      </c>
      <c r="U20" t="s">
        <v>17</v>
      </c>
    </row>
    <row r="21" spans="1:21" x14ac:dyDescent="0.25">
      <c r="A21" t="s">
        <v>135</v>
      </c>
      <c r="E21" t="s">
        <v>961</v>
      </c>
      <c r="M21" t="s">
        <v>136</v>
      </c>
      <c r="N21" t="s">
        <v>137</v>
      </c>
      <c r="O21" t="s">
        <v>138</v>
      </c>
      <c r="P21" t="s">
        <v>139</v>
      </c>
      <c r="Q21" t="s">
        <v>140</v>
      </c>
      <c r="S21" t="s">
        <v>141</v>
      </c>
      <c r="T21" t="s">
        <v>142</v>
      </c>
      <c r="U21" t="s">
        <v>17</v>
      </c>
    </row>
    <row r="22" spans="1:21" x14ac:dyDescent="0.25">
      <c r="A22" t="s">
        <v>143</v>
      </c>
      <c r="I22" t="s">
        <v>1023</v>
      </c>
      <c r="M22" t="s">
        <v>144</v>
      </c>
      <c r="N22" t="s">
        <v>145</v>
      </c>
      <c r="O22" t="s">
        <v>146</v>
      </c>
      <c r="P22" t="s">
        <v>147</v>
      </c>
      <c r="Q22" t="s">
        <v>148</v>
      </c>
      <c r="S22" t="s">
        <v>149</v>
      </c>
      <c r="T22" t="s">
        <v>150</v>
      </c>
      <c r="U22" t="s">
        <v>17</v>
      </c>
    </row>
    <row r="23" spans="1:21" x14ac:dyDescent="0.25">
      <c r="A23" t="s">
        <v>151</v>
      </c>
      <c r="C23" t="s">
        <v>947</v>
      </c>
      <c r="D23" t="s">
        <v>945</v>
      </c>
      <c r="M23" t="s">
        <v>152</v>
      </c>
      <c r="N23" t="s">
        <v>153</v>
      </c>
      <c r="O23" t="s">
        <v>154</v>
      </c>
      <c r="P23" t="s">
        <v>155</v>
      </c>
      <c r="S23" t="s">
        <v>156</v>
      </c>
      <c r="T23" t="s">
        <v>157</v>
      </c>
      <c r="U23" t="s">
        <v>17</v>
      </c>
    </row>
    <row r="24" spans="1:21" x14ac:dyDescent="0.25">
      <c r="A24" t="s">
        <v>158</v>
      </c>
      <c r="C24" t="s">
        <v>947</v>
      </c>
      <c r="D24" t="s">
        <v>945</v>
      </c>
      <c r="M24" t="s">
        <v>159</v>
      </c>
      <c r="N24" t="s">
        <v>160</v>
      </c>
      <c r="O24" t="s">
        <v>90</v>
      </c>
      <c r="P24" t="s">
        <v>161</v>
      </c>
      <c r="Q24" t="s">
        <v>162</v>
      </c>
      <c r="R24" t="s">
        <v>163</v>
      </c>
      <c r="S24" t="s">
        <v>94</v>
      </c>
      <c r="T24" t="s">
        <v>95</v>
      </c>
      <c r="U24" t="s">
        <v>17</v>
      </c>
    </row>
    <row r="25" spans="1:21" x14ac:dyDescent="0.25">
      <c r="A25" t="s">
        <v>164</v>
      </c>
      <c r="G25" t="s">
        <v>954</v>
      </c>
      <c r="M25" t="s">
        <v>165</v>
      </c>
      <c r="N25" t="s">
        <v>166</v>
      </c>
      <c r="O25" t="s">
        <v>167</v>
      </c>
      <c r="P25" t="s">
        <v>167</v>
      </c>
      <c r="S25" t="s">
        <v>168</v>
      </c>
      <c r="T25" t="s">
        <v>169</v>
      </c>
      <c r="U25" t="s">
        <v>17</v>
      </c>
    </row>
    <row r="26" spans="1:21" x14ac:dyDescent="0.25">
      <c r="A26" t="s">
        <v>170</v>
      </c>
      <c r="G26" t="s">
        <v>954</v>
      </c>
      <c r="M26" t="s">
        <v>171</v>
      </c>
      <c r="N26" t="s">
        <v>172</v>
      </c>
      <c r="O26" t="s">
        <v>173</v>
      </c>
      <c r="P26" t="s">
        <v>174</v>
      </c>
      <c r="S26" t="s">
        <v>175</v>
      </c>
      <c r="T26" t="s">
        <v>176</v>
      </c>
      <c r="U26" t="s">
        <v>17</v>
      </c>
    </row>
    <row r="27" spans="1:21" x14ac:dyDescent="0.25">
      <c r="A27" t="s">
        <v>177</v>
      </c>
      <c r="G27" t="s">
        <v>954</v>
      </c>
      <c r="M27" t="s">
        <v>178</v>
      </c>
      <c r="N27" t="s">
        <v>179</v>
      </c>
      <c r="O27" t="s">
        <v>180</v>
      </c>
      <c r="P27" t="s">
        <v>173</v>
      </c>
      <c r="S27" t="s">
        <v>181</v>
      </c>
      <c r="T27" t="s">
        <v>182</v>
      </c>
      <c r="U27" t="s">
        <v>17</v>
      </c>
    </row>
    <row r="28" spans="1:21" x14ac:dyDescent="0.25">
      <c r="A28" t="s">
        <v>183</v>
      </c>
      <c r="G28" t="s">
        <v>954</v>
      </c>
      <c r="M28" t="s">
        <v>184</v>
      </c>
      <c r="N28" t="s">
        <v>185</v>
      </c>
      <c r="O28" t="s">
        <v>186</v>
      </c>
      <c r="P28" t="s">
        <v>186</v>
      </c>
      <c r="S28" t="s">
        <v>187</v>
      </c>
      <c r="T28" t="s">
        <v>188</v>
      </c>
      <c r="U28" t="s">
        <v>17</v>
      </c>
    </row>
    <row r="29" spans="1:21" x14ac:dyDescent="0.25">
      <c r="A29" t="s">
        <v>189</v>
      </c>
      <c r="H29" t="s">
        <v>978</v>
      </c>
      <c r="M29" t="s">
        <v>190</v>
      </c>
      <c r="N29" t="s">
        <v>191</v>
      </c>
      <c r="O29" t="s">
        <v>192</v>
      </c>
      <c r="P29" t="s">
        <v>193</v>
      </c>
      <c r="Q29" t="s">
        <v>194</v>
      </c>
      <c r="R29" t="s">
        <v>192</v>
      </c>
      <c r="S29" t="s">
        <v>195</v>
      </c>
      <c r="T29" t="s">
        <v>196</v>
      </c>
      <c r="U29" t="s">
        <v>17</v>
      </c>
    </row>
    <row r="30" spans="1:21" x14ac:dyDescent="0.25">
      <c r="A30" t="s">
        <v>197</v>
      </c>
      <c r="L30" t="s">
        <v>990</v>
      </c>
      <c r="M30" t="s">
        <v>198</v>
      </c>
      <c r="N30" t="s">
        <v>199</v>
      </c>
      <c r="O30" t="s">
        <v>200</v>
      </c>
      <c r="P30" t="s">
        <v>201</v>
      </c>
      <c r="S30" t="s">
        <v>202</v>
      </c>
      <c r="T30" t="s">
        <v>203</v>
      </c>
      <c r="U30" t="s">
        <v>17</v>
      </c>
    </row>
    <row r="31" spans="1:21" x14ac:dyDescent="0.25">
      <c r="A31" t="s">
        <v>204</v>
      </c>
      <c r="L31" t="s">
        <v>990</v>
      </c>
      <c r="M31" t="s">
        <v>205</v>
      </c>
      <c r="N31" t="s">
        <v>206</v>
      </c>
      <c r="O31" t="s">
        <v>207</v>
      </c>
      <c r="P31" t="s">
        <v>208</v>
      </c>
      <c r="S31" t="s">
        <v>209</v>
      </c>
      <c r="T31" t="s">
        <v>210</v>
      </c>
      <c r="U31" t="s">
        <v>17</v>
      </c>
    </row>
    <row r="32" spans="1:21" x14ac:dyDescent="0.25">
      <c r="A32" t="s">
        <v>211</v>
      </c>
      <c r="G32" t="s">
        <v>954</v>
      </c>
      <c r="M32" t="s">
        <v>212</v>
      </c>
      <c r="N32" t="s">
        <v>213</v>
      </c>
      <c r="O32" t="s">
        <v>60</v>
      </c>
      <c r="P32" t="s">
        <v>214</v>
      </c>
      <c r="Q32" t="s">
        <v>31</v>
      </c>
      <c r="S32" t="s">
        <v>215</v>
      </c>
      <c r="T32" t="s">
        <v>216</v>
      </c>
      <c r="U32" t="s">
        <v>17</v>
      </c>
    </row>
    <row r="33" spans="1:21" x14ac:dyDescent="0.25">
      <c r="A33" t="s">
        <v>217</v>
      </c>
      <c r="H33" t="s">
        <v>978</v>
      </c>
      <c r="K33" t="s">
        <v>976</v>
      </c>
      <c r="M33" t="s">
        <v>219</v>
      </c>
      <c r="N33" t="s">
        <v>220</v>
      </c>
      <c r="O33" t="s">
        <v>221</v>
      </c>
      <c r="P33" t="s">
        <v>222</v>
      </c>
      <c r="Q33" t="s">
        <v>223</v>
      </c>
      <c r="S33" t="s">
        <v>224</v>
      </c>
      <c r="T33" t="s">
        <v>225</v>
      </c>
      <c r="U33" t="s">
        <v>17</v>
      </c>
    </row>
    <row r="34" spans="1:21" x14ac:dyDescent="0.25">
      <c r="A34" t="s">
        <v>226</v>
      </c>
      <c r="I34" t="s">
        <v>1023</v>
      </c>
      <c r="J34" t="s">
        <v>968</v>
      </c>
      <c r="M34" t="s">
        <v>227</v>
      </c>
      <c r="N34" t="s">
        <v>228</v>
      </c>
      <c r="O34" t="s">
        <v>229</v>
      </c>
      <c r="P34" t="s">
        <v>228</v>
      </c>
      <c r="S34" t="s">
        <v>230</v>
      </c>
      <c r="T34" t="s">
        <v>231</v>
      </c>
      <c r="U34" t="s">
        <v>17</v>
      </c>
    </row>
    <row r="35" spans="1:21" x14ac:dyDescent="0.25">
      <c r="A35" t="s">
        <v>232</v>
      </c>
      <c r="I35" t="s">
        <v>1023</v>
      </c>
      <c r="J35" t="s">
        <v>968</v>
      </c>
      <c r="M35" t="s">
        <v>233</v>
      </c>
      <c r="N35" t="s">
        <v>234</v>
      </c>
      <c r="O35" t="s">
        <v>235</v>
      </c>
      <c r="P35" t="s">
        <v>236</v>
      </c>
      <c r="S35" t="s">
        <v>237</v>
      </c>
      <c r="T35" t="s">
        <v>238</v>
      </c>
      <c r="U35" t="s">
        <v>17</v>
      </c>
    </row>
    <row r="36" spans="1:21" x14ac:dyDescent="0.25">
      <c r="A36" t="s">
        <v>239</v>
      </c>
      <c r="L36" t="s">
        <v>990</v>
      </c>
      <c r="M36" t="s">
        <v>240</v>
      </c>
      <c r="N36" t="s">
        <v>241</v>
      </c>
      <c r="O36" t="s">
        <v>242</v>
      </c>
      <c r="P36" t="s">
        <v>243</v>
      </c>
      <c r="S36" t="s">
        <v>244</v>
      </c>
      <c r="T36" t="s">
        <v>245</v>
      </c>
      <c r="U36" t="s">
        <v>17</v>
      </c>
    </row>
    <row r="37" spans="1:21" x14ac:dyDescent="0.25">
      <c r="A37" t="s">
        <v>246</v>
      </c>
      <c r="B37" t="s">
        <v>1022</v>
      </c>
      <c r="M37" t="s">
        <v>247</v>
      </c>
      <c r="N37" t="s">
        <v>248</v>
      </c>
      <c r="O37" t="s">
        <v>45</v>
      </c>
      <c r="P37" t="s">
        <v>249</v>
      </c>
      <c r="Q37" t="s">
        <v>250</v>
      </c>
      <c r="R37" t="s">
        <v>251</v>
      </c>
      <c r="S37" t="s">
        <v>47</v>
      </c>
      <c r="T37" t="s">
        <v>48</v>
      </c>
      <c r="U37" t="s">
        <v>17</v>
      </c>
    </row>
    <row r="38" spans="1:21" x14ac:dyDescent="0.25">
      <c r="A38" t="s">
        <v>252</v>
      </c>
      <c r="E38" t="s">
        <v>961</v>
      </c>
      <c r="F38" t="s">
        <v>955</v>
      </c>
      <c r="M38" t="s">
        <v>253</v>
      </c>
      <c r="N38" t="s">
        <v>254</v>
      </c>
      <c r="O38" t="s">
        <v>255</v>
      </c>
      <c r="P38" t="s">
        <v>256</v>
      </c>
      <c r="Q38" t="s">
        <v>257</v>
      </c>
      <c r="R38" t="s">
        <v>258</v>
      </c>
      <c r="S38" t="s">
        <v>259</v>
      </c>
      <c r="T38" t="s">
        <v>260</v>
      </c>
      <c r="U38" t="s">
        <v>17</v>
      </c>
    </row>
    <row r="39" spans="1:21" x14ac:dyDescent="0.25">
      <c r="A39" t="s">
        <v>261</v>
      </c>
      <c r="I39" t="s">
        <v>1023</v>
      </c>
      <c r="M39" t="s">
        <v>262</v>
      </c>
      <c r="N39" t="s">
        <v>263</v>
      </c>
      <c r="O39" t="s">
        <v>264</v>
      </c>
      <c r="P39" t="s">
        <v>265</v>
      </c>
      <c r="S39" t="s">
        <v>266</v>
      </c>
      <c r="T39" t="s">
        <v>267</v>
      </c>
      <c r="U39" t="s">
        <v>17</v>
      </c>
    </row>
    <row r="40" spans="1:21" x14ac:dyDescent="0.25">
      <c r="A40" t="s">
        <v>268</v>
      </c>
      <c r="I40" t="s">
        <v>1023</v>
      </c>
      <c r="J40" t="s">
        <v>968</v>
      </c>
      <c r="L40" t="s">
        <v>990</v>
      </c>
      <c r="M40" t="s">
        <v>269</v>
      </c>
      <c r="N40" t="s">
        <v>270</v>
      </c>
      <c r="O40" t="s">
        <v>271</v>
      </c>
      <c r="P40" t="s">
        <v>272</v>
      </c>
      <c r="S40" t="s">
        <v>273</v>
      </c>
      <c r="T40" t="s">
        <v>274</v>
      </c>
      <c r="U40" t="s">
        <v>17</v>
      </c>
    </row>
    <row r="41" spans="1:21" x14ac:dyDescent="0.25">
      <c r="A41" t="s">
        <v>275</v>
      </c>
      <c r="E41" t="s">
        <v>961</v>
      </c>
      <c r="F41" t="s">
        <v>955</v>
      </c>
      <c r="M41" t="s">
        <v>276</v>
      </c>
      <c r="N41" t="s">
        <v>277</v>
      </c>
      <c r="O41" t="s">
        <v>278</v>
      </c>
      <c r="P41" t="s">
        <v>279</v>
      </c>
      <c r="Q41" t="s">
        <v>280</v>
      </c>
      <c r="R41" t="s">
        <v>281</v>
      </c>
      <c r="S41" t="s">
        <v>282</v>
      </c>
      <c r="T41" t="s">
        <v>283</v>
      </c>
      <c r="U41" t="s">
        <v>17</v>
      </c>
    </row>
    <row r="42" spans="1:21" x14ac:dyDescent="0.25">
      <c r="A42" t="s">
        <v>284</v>
      </c>
      <c r="L42" t="s">
        <v>990</v>
      </c>
      <c r="M42" t="s">
        <v>205</v>
      </c>
      <c r="N42" t="s">
        <v>206</v>
      </c>
      <c r="O42" t="s">
        <v>285</v>
      </c>
      <c r="P42" t="s">
        <v>286</v>
      </c>
      <c r="S42" t="s">
        <v>209</v>
      </c>
      <c r="T42" t="s">
        <v>210</v>
      </c>
      <c r="U42" t="s">
        <v>17</v>
      </c>
    </row>
    <row r="43" spans="1:21" x14ac:dyDescent="0.25">
      <c r="A43" t="s">
        <v>287</v>
      </c>
      <c r="C43" t="s">
        <v>947</v>
      </c>
      <c r="M43" t="s">
        <v>288</v>
      </c>
      <c r="N43" t="s">
        <v>289</v>
      </c>
      <c r="O43" t="s">
        <v>45</v>
      </c>
      <c r="P43" t="s">
        <v>290</v>
      </c>
      <c r="Q43" t="s">
        <v>291</v>
      </c>
      <c r="R43" t="s">
        <v>292</v>
      </c>
      <c r="S43" t="s">
        <v>47</v>
      </c>
      <c r="T43" t="s">
        <v>48</v>
      </c>
      <c r="U43" t="s">
        <v>17</v>
      </c>
    </row>
    <row r="44" spans="1:21" x14ac:dyDescent="0.25">
      <c r="A44" t="s">
        <v>293</v>
      </c>
      <c r="C44" t="s">
        <v>947</v>
      </c>
      <c r="M44" t="s">
        <v>288</v>
      </c>
      <c r="N44" t="s">
        <v>294</v>
      </c>
      <c r="O44" t="s">
        <v>45</v>
      </c>
      <c r="P44" t="s">
        <v>295</v>
      </c>
      <c r="Q44" t="s">
        <v>296</v>
      </c>
      <c r="R44" t="s">
        <v>297</v>
      </c>
      <c r="S44" t="s">
        <v>47</v>
      </c>
      <c r="T44" t="s">
        <v>48</v>
      </c>
      <c r="U44" t="s">
        <v>17</v>
      </c>
    </row>
    <row r="45" spans="1:21" x14ac:dyDescent="0.25">
      <c r="A45" t="s">
        <v>298</v>
      </c>
      <c r="E45" t="s">
        <v>961</v>
      </c>
      <c r="M45" t="s">
        <v>144</v>
      </c>
      <c r="N45" t="s">
        <v>299</v>
      </c>
      <c r="O45" t="s">
        <v>300</v>
      </c>
      <c r="P45" t="s">
        <v>301</v>
      </c>
      <c r="Q45" t="s">
        <v>302</v>
      </c>
      <c r="R45" t="s">
        <v>303</v>
      </c>
      <c r="S45" t="s">
        <v>304</v>
      </c>
      <c r="T45" t="s">
        <v>305</v>
      </c>
      <c r="U45" t="s">
        <v>17</v>
      </c>
    </row>
    <row r="46" spans="1:21" x14ac:dyDescent="0.25">
      <c r="A46" t="s">
        <v>306</v>
      </c>
      <c r="L46" t="s">
        <v>990</v>
      </c>
      <c r="M46" t="s">
        <v>205</v>
      </c>
      <c r="N46" t="s">
        <v>206</v>
      </c>
      <c r="O46" t="s">
        <v>207</v>
      </c>
      <c r="P46" t="s">
        <v>307</v>
      </c>
      <c r="S46" t="s">
        <v>209</v>
      </c>
      <c r="T46" t="s">
        <v>210</v>
      </c>
      <c r="U46" t="s">
        <v>17</v>
      </c>
    </row>
    <row r="47" spans="1:21" x14ac:dyDescent="0.25">
      <c r="A47" t="s">
        <v>308</v>
      </c>
      <c r="L47" t="s">
        <v>990</v>
      </c>
      <c r="M47" t="s">
        <v>205</v>
      </c>
      <c r="N47" t="s">
        <v>206</v>
      </c>
      <c r="O47" t="s">
        <v>207</v>
      </c>
      <c r="P47" t="s">
        <v>309</v>
      </c>
      <c r="S47" t="s">
        <v>209</v>
      </c>
      <c r="T47" t="s">
        <v>210</v>
      </c>
      <c r="U47" t="s">
        <v>17</v>
      </c>
    </row>
    <row r="48" spans="1:21" x14ac:dyDescent="0.25">
      <c r="A48" t="s">
        <v>310</v>
      </c>
      <c r="L48" t="s">
        <v>990</v>
      </c>
      <c r="M48" t="s">
        <v>311</v>
      </c>
      <c r="N48" t="s">
        <v>206</v>
      </c>
      <c r="O48" t="s">
        <v>207</v>
      </c>
      <c r="P48" t="s">
        <v>312</v>
      </c>
      <c r="S48" t="s">
        <v>209</v>
      </c>
      <c r="T48" t="s">
        <v>210</v>
      </c>
      <c r="U48" t="s">
        <v>17</v>
      </c>
    </row>
    <row r="49" spans="1:21" x14ac:dyDescent="0.25">
      <c r="A49" t="s">
        <v>313</v>
      </c>
      <c r="I49" t="s">
        <v>1023</v>
      </c>
      <c r="J49" t="s">
        <v>968</v>
      </c>
      <c r="M49" t="s">
        <v>314</v>
      </c>
      <c r="N49" t="s">
        <v>315</v>
      </c>
      <c r="O49" t="s">
        <v>235</v>
      </c>
      <c r="P49" t="s">
        <v>316</v>
      </c>
      <c r="S49" t="s">
        <v>317</v>
      </c>
      <c r="T49" t="s">
        <v>318</v>
      </c>
      <c r="U49" t="s">
        <v>17</v>
      </c>
    </row>
    <row r="50" spans="1:21" x14ac:dyDescent="0.25">
      <c r="A50" t="s">
        <v>319</v>
      </c>
      <c r="D50" t="s">
        <v>945</v>
      </c>
      <c r="M50" t="s">
        <v>320</v>
      </c>
      <c r="N50" t="s">
        <v>321</v>
      </c>
      <c r="O50" t="s">
        <v>21</v>
      </c>
      <c r="P50" t="s">
        <v>322</v>
      </c>
      <c r="S50" t="s">
        <v>23</v>
      </c>
      <c r="T50" t="s">
        <v>24</v>
      </c>
      <c r="U50" t="s">
        <v>17</v>
      </c>
    </row>
    <row r="51" spans="1:21" x14ac:dyDescent="0.25">
      <c r="A51" t="s">
        <v>323</v>
      </c>
      <c r="I51" t="s">
        <v>1023</v>
      </c>
      <c r="J51" t="s">
        <v>968</v>
      </c>
      <c r="M51" t="s">
        <v>324</v>
      </c>
      <c r="N51" t="s">
        <v>325</v>
      </c>
      <c r="O51" t="s">
        <v>326</v>
      </c>
      <c r="P51" t="s">
        <v>327</v>
      </c>
      <c r="S51" t="s">
        <v>328</v>
      </c>
      <c r="T51" t="s">
        <v>329</v>
      </c>
      <c r="U51" t="s">
        <v>17</v>
      </c>
    </row>
    <row r="52" spans="1:21" x14ac:dyDescent="0.25">
      <c r="A52" t="s">
        <v>330</v>
      </c>
      <c r="L52" t="s">
        <v>990</v>
      </c>
      <c r="M52" t="s">
        <v>331</v>
      </c>
      <c r="N52" t="s">
        <v>332</v>
      </c>
      <c r="O52" t="s">
        <v>333</v>
      </c>
      <c r="P52" t="s">
        <v>334</v>
      </c>
      <c r="S52" t="s">
        <v>335</v>
      </c>
      <c r="T52" t="s">
        <v>336</v>
      </c>
      <c r="U52" t="s">
        <v>17</v>
      </c>
    </row>
    <row r="53" spans="1:21" x14ac:dyDescent="0.25">
      <c r="A53" t="s">
        <v>337</v>
      </c>
      <c r="D53" t="s">
        <v>945</v>
      </c>
      <c r="M53" t="s">
        <v>320</v>
      </c>
      <c r="N53" t="s">
        <v>338</v>
      </c>
      <c r="O53" t="s">
        <v>21</v>
      </c>
      <c r="P53" t="s">
        <v>339</v>
      </c>
      <c r="S53" t="s">
        <v>23</v>
      </c>
      <c r="T53" t="s">
        <v>24</v>
      </c>
      <c r="U53" t="s">
        <v>17</v>
      </c>
    </row>
    <row r="54" spans="1:21" x14ac:dyDescent="0.25">
      <c r="A54" t="s">
        <v>340</v>
      </c>
      <c r="K54" t="s">
        <v>976</v>
      </c>
      <c r="M54" t="s">
        <v>341</v>
      </c>
      <c r="N54" t="s">
        <v>342</v>
      </c>
      <c r="O54" t="s">
        <v>343</v>
      </c>
      <c r="P54" t="s">
        <v>344</v>
      </c>
      <c r="Q54" t="s">
        <v>345</v>
      </c>
      <c r="R54" t="s">
        <v>346</v>
      </c>
      <c r="S54" t="s">
        <v>347</v>
      </c>
      <c r="T54" t="s">
        <v>348</v>
      </c>
      <c r="U54" t="s">
        <v>17</v>
      </c>
    </row>
    <row r="55" spans="1:21" x14ac:dyDescent="0.25">
      <c r="A55" t="s">
        <v>349</v>
      </c>
      <c r="I55" t="s">
        <v>1023</v>
      </c>
      <c r="J55" t="s">
        <v>968</v>
      </c>
      <c r="M55" t="s">
        <v>350</v>
      </c>
      <c r="N55" t="s">
        <v>351</v>
      </c>
      <c r="O55" t="s">
        <v>326</v>
      </c>
      <c r="P55" t="s">
        <v>351</v>
      </c>
      <c r="S55" t="s">
        <v>352</v>
      </c>
      <c r="T55" t="s">
        <v>353</v>
      </c>
      <c r="U55" t="s">
        <v>17</v>
      </c>
    </row>
    <row r="56" spans="1:21" x14ac:dyDescent="0.25">
      <c r="A56" t="s">
        <v>354</v>
      </c>
      <c r="I56" t="s">
        <v>1023</v>
      </c>
      <c r="J56" t="s">
        <v>968</v>
      </c>
      <c r="M56" t="s">
        <v>355</v>
      </c>
      <c r="N56" t="s">
        <v>356</v>
      </c>
      <c r="O56" t="s">
        <v>326</v>
      </c>
      <c r="P56" t="s">
        <v>356</v>
      </c>
      <c r="S56" t="s">
        <v>357</v>
      </c>
      <c r="T56" t="s">
        <v>358</v>
      </c>
      <c r="U56" t="s">
        <v>17</v>
      </c>
    </row>
    <row r="57" spans="1:21" x14ac:dyDescent="0.25">
      <c r="A57" t="s">
        <v>359</v>
      </c>
      <c r="G57" t="s">
        <v>954</v>
      </c>
      <c r="M57" t="s">
        <v>360</v>
      </c>
      <c r="N57" t="s">
        <v>361</v>
      </c>
      <c r="O57" t="s">
        <v>362</v>
      </c>
      <c r="P57" t="s">
        <v>363</v>
      </c>
      <c r="Q57" t="s">
        <v>364</v>
      </c>
      <c r="R57" t="s">
        <v>365</v>
      </c>
      <c r="S57" t="s">
        <v>366</v>
      </c>
      <c r="T57" t="s">
        <v>367</v>
      </c>
      <c r="U57" t="s">
        <v>17</v>
      </c>
    </row>
    <row r="58" spans="1:21" x14ac:dyDescent="0.25">
      <c r="A58" t="s">
        <v>368</v>
      </c>
      <c r="I58" t="s">
        <v>1023</v>
      </c>
      <c r="J58" t="s">
        <v>968</v>
      </c>
      <c r="M58" t="s">
        <v>369</v>
      </c>
      <c r="N58" t="s">
        <v>370</v>
      </c>
      <c r="O58" t="s">
        <v>326</v>
      </c>
      <c r="P58" t="s">
        <v>370</v>
      </c>
      <c r="S58" t="s">
        <v>371</v>
      </c>
      <c r="T58" t="s">
        <v>372</v>
      </c>
      <c r="U58" t="s">
        <v>17</v>
      </c>
    </row>
    <row r="59" spans="1:21" x14ac:dyDescent="0.25">
      <c r="A59" t="s">
        <v>373</v>
      </c>
      <c r="C59" t="s">
        <v>947</v>
      </c>
      <c r="D59" t="s">
        <v>945</v>
      </c>
      <c r="M59" t="s">
        <v>374</v>
      </c>
      <c r="N59" t="s">
        <v>375</v>
      </c>
      <c r="O59" t="s">
        <v>376</v>
      </c>
      <c r="P59" t="s">
        <v>377</v>
      </c>
      <c r="Q59" t="s">
        <v>378</v>
      </c>
      <c r="S59" t="s">
        <v>379</v>
      </c>
      <c r="T59" t="s">
        <v>380</v>
      </c>
      <c r="U59" t="s">
        <v>17</v>
      </c>
    </row>
    <row r="60" spans="1:21" x14ac:dyDescent="0.25">
      <c r="A60" t="s">
        <v>381</v>
      </c>
      <c r="C60" t="s">
        <v>947</v>
      </c>
      <c r="D60" t="s">
        <v>945</v>
      </c>
      <c r="M60" t="s">
        <v>374</v>
      </c>
      <c r="N60" t="s">
        <v>382</v>
      </c>
      <c r="O60" t="s">
        <v>376</v>
      </c>
      <c r="P60" t="s">
        <v>383</v>
      </c>
      <c r="Q60" t="s">
        <v>384</v>
      </c>
      <c r="S60" t="s">
        <v>379</v>
      </c>
      <c r="T60" t="s">
        <v>380</v>
      </c>
      <c r="U60" t="s">
        <v>17</v>
      </c>
    </row>
    <row r="61" spans="1:21" x14ac:dyDescent="0.25">
      <c r="A61" t="s">
        <v>385</v>
      </c>
      <c r="C61" t="s">
        <v>947</v>
      </c>
      <c r="D61" t="s">
        <v>945</v>
      </c>
      <c r="M61" t="s">
        <v>374</v>
      </c>
      <c r="N61" t="s">
        <v>386</v>
      </c>
      <c r="O61" t="s">
        <v>376</v>
      </c>
      <c r="P61" t="s">
        <v>387</v>
      </c>
      <c r="Q61" t="s">
        <v>388</v>
      </c>
      <c r="S61" t="s">
        <v>379</v>
      </c>
      <c r="T61" t="s">
        <v>380</v>
      </c>
      <c r="U61" t="s">
        <v>17</v>
      </c>
    </row>
    <row r="62" spans="1:21" x14ac:dyDescent="0.25">
      <c r="A62" t="s">
        <v>389</v>
      </c>
      <c r="C62" t="s">
        <v>947</v>
      </c>
      <c r="D62" t="s">
        <v>945</v>
      </c>
      <c r="M62" t="s">
        <v>374</v>
      </c>
      <c r="N62" t="s">
        <v>390</v>
      </c>
      <c r="O62" t="s">
        <v>376</v>
      </c>
      <c r="P62" t="s">
        <v>391</v>
      </c>
      <c r="Q62" t="s">
        <v>392</v>
      </c>
      <c r="S62" t="s">
        <v>379</v>
      </c>
      <c r="T62" t="s">
        <v>380</v>
      </c>
      <c r="U62" t="s">
        <v>17</v>
      </c>
    </row>
    <row r="63" spans="1:21" x14ac:dyDescent="0.25">
      <c r="A63" t="s">
        <v>393</v>
      </c>
      <c r="I63" t="s">
        <v>1023</v>
      </c>
      <c r="M63" t="s">
        <v>394</v>
      </c>
      <c r="N63" t="s">
        <v>395</v>
      </c>
      <c r="O63" t="s">
        <v>326</v>
      </c>
      <c r="P63" t="s">
        <v>395</v>
      </c>
      <c r="S63" t="s">
        <v>396</v>
      </c>
      <c r="T63" t="s">
        <v>397</v>
      </c>
      <c r="U63" t="s">
        <v>17</v>
      </c>
    </row>
    <row r="64" spans="1:21" x14ac:dyDescent="0.25">
      <c r="A64" t="s">
        <v>398</v>
      </c>
      <c r="C64" t="s">
        <v>947</v>
      </c>
      <c r="D64" t="s">
        <v>945</v>
      </c>
      <c r="M64" t="s">
        <v>374</v>
      </c>
      <c r="N64" t="s">
        <v>399</v>
      </c>
      <c r="O64" t="s">
        <v>376</v>
      </c>
      <c r="P64" t="s">
        <v>400</v>
      </c>
      <c r="S64" t="s">
        <v>379</v>
      </c>
      <c r="T64" t="s">
        <v>380</v>
      </c>
      <c r="U64" t="s">
        <v>17</v>
      </c>
    </row>
    <row r="65" spans="1:21" x14ac:dyDescent="0.25">
      <c r="A65" t="s">
        <v>401</v>
      </c>
      <c r="C65" t="s">
        <v>947</v>
      </c>
      <c r="D65" t="s">
        <v>945</v>
      </c>
      <c r="M65" t="s">
        <v>374</v>
      </c>
      <c r="N65" t="s">
        <v>402</v>
      </c>
      <c r="O65" t="s">
        <v>376</v>
      </c>
      <c r="P65" t="s">
        <v>403</v>
      </c>
      <c r="Q65" t="s">
        <v>404</v>
      </c>
      <c r="S65" t="s">
        <v>379</v>
      </c>
      <c r="T65" t="s">
        <v>380</v>
      </c>
      <c r="U65" t="s">
        <v>17</v>
      </c>
    </row>
    <row r="66" spans="1:21" x14ac:dyDescent="0.25">
      <c r="A66" t="s">
        <v>405</v>
      </c>
      <c r="B66" t="s">
        <v>1022</v>
      </c>
      <c r="M66" t="s">
        <v>406</v>
      </c>
      <c r="N66" t="s">
        <v>407</v>
      </c>
      <c r="O66" t="s">
        <v>408</v>
      </c>
      <c r="P66" t="s">
        <v>409</v>
      </c>
      <c r="Q66" t="s">
        <v>410</v>
      </c>
      <c r="R66" t="s">
        <v>411</v>
      </c>
      <c r="S66" t="s">
        <v>412</v>
      </c>
      <c r="T66" t="s">
        <v>413</v>
      </c>
      <c r="U66" t="s">
        <v>17</v>
      </c>
    </row>
    <row r="67" spans="1:21" x14ac:dyDescent="0.25">
      <c r="A67" t="s">
        <v>414</v>
      </c>
      <c r="L67" t="s">
        <v>990</v>
      </c>
      <c r="M67" t="s">
        <v>415</v>
      </c>
      <c r="N67" t="s">
        <v>416</v>
      </c>
      <c r="O67" t="s">
        <v>417</v>
      </c>
      <c r="P67" t="s">
        <v>418</v>
      </c>
      <c r="Q67" t="s">
        <v>419</v>
      </c>
      <c r="S67" t="s">
        <v>420</v>
      </c>
      <c r="T67" t="s">
        <v>413</v>
      </c>
      <c r="U67" t="s">
        <v>17</v>
      </c>
    </row>
    <row r="68" spans="1:21" x14ac:dyDescent="0.25">
      <c r="A68" t="s">
        <v>421</v>
      </c>
      <c r="L68" t="s">
        <v>990</v>
      </c>
      <c r="M68" t="s">
        <v>415</v>
      </c>
      <c r="N68" t="s">
        <v>422</v>
      </c>
      <c r="O68" t="s">
        <v>417</v>
      </c>
      <c r="P68" t="s">
        <v>423</v>
      </c>
      <c r="Q68" t="s">
        <v>424</v>
      </c>
      <c r="S68" t="s">
        <v>425</v>
      </c>
      <c r="T68" t="s">
        <v>413</v>
      </c>
      <c r="U68" t="s">
        <v>17</v>
      </c>
    </row>
    <row r="69" spans="1:21" x14ac:dyDescent="0.25">
      <c r="A69" t="s">
        <v>426</v>
      </c>
      <c r="I69" t="s">
        <v>1023</v>
      </c>
      <c r="J69" t="s">
        <v>968</v>
      </c>
      <c r="M69" t="s">
        <v>427</v>
      </c>
      <c r="N69" t="s">
        <v>428</v>
      </c>
      <c r="O69" t="s">
        <v>429</v>
      </c>
      <c r="P69" t="s">
        <v>430</v>
      </c>
      <c r="S69" t="s">
        <v>431</v>
      </c>
      <c r="T69" t="s">
        <v>432</v>
      </c>
      <c r="U69" t="s">
        <v>17</v>
      </c>
    </row>
    <row r="70" spans="1:21" x14ac:dyDescent="0.25">
      <c r="A70" t="s">
        <v>433</v>
      </c>
      <c r="B70" t="s">
        <v>1022</v>
      </c>
      <c r="F70" t="s">
        <v>955</v>
      </c>
      <c r="G70" t="s">
        <v>954</v>
      </c>
      <c r="M70" t="s">
        <v>434</v>
      </c>
      <c r="N70" t="s">
        <v>435</v>
      </c>
      <c r="O70" t="s">
        <v>60</v>
      </c>
      <c r="P70" t="s">
        <v>436</v>
      </c>
      <c r="Q70" t="s">
        <v>437</v>
      </c>
      <c r="S70" t="s">
        <v>438</v>
      </c>
      <c r="T70" t="s">
        <v>439</v>
      </c>
      <c r="U70" t="s">
        <v>17</v>
      </c>
    </row>
    <row r="71" spans="1:21" x14ac:dyDescent="0.25">
      <c r="A71" t="s">
        <v>440</v>
      </c>
      <c r="C71" t="s">
        <v>947</v>
      </c>
      <c r="M71" t="s">
        <v>441</v>
      </c>
      <c r="N71" t="s">
        <v>442</v>
      </c>
      <c r="O71" t="s">
        <v>443</v>
      </c>
      <c r="P71" t="s">
        <v>444</v>
      </c>
      <c r="S71" t="s">
        <v>445</v>
      </c>
      <c r="T71" t="s">
        <v>446</v>
      </c>
      <c r="U71" t="s">
        <v>17</v>
      </c>
    </row>
    <row r="72" spans="1:21" x14ac:dyDescent="0.25">
      <c r="A72" t="s">
        <v>447</v>
      </c>
      <c r="D72" t="s">
        <v>945</v>
      </c>
      <c r="M72" t="s">
        <v>448</v>
      </c>
      <c r="N72" t="s">
        <v>449</v>
      </c>
      <c r="O72" t="s">
        <v>443</v>
      </c>
      <c r="P72" t="s">
        <v>450</v>
      </c>
      <c r="Q72" t="s">
        <v>451</v>
      </c>
      <c r="S72" t="s">
        <v>445</v>
      </c>
      <c r="T72" t="s">
        <v>446</v>
      </c>
      <c r="U72" t="s">
        <v>17</v>
      </c>
    </row>
    <row r="73" spans="1:21" x14ac:dyDescent="0.25">
      <c r="A73" t="s">
        <v>452</v>
      </c>
      <c r="D73" t="s">
        <v>945</v>
      </c>
      <c r="M73" t="s">
        <v>453</v>
      </c>
      <c r="N73" t="s">
        <v>454</v>
      </c>
      <c r="O73" t="s">
        <v>443</v>
      </c>
      <c r="P73" t="s">
        <v>455</v>
      </c>
      <c r="Q73" t="s">
        <v>456</v>
      </c>
      <c r="S73" t="s">
        <v>445</v>
      </c>
      <c r="T73" t="s">
        <v>446</v>
      </c>
      <c r="U73" t="s">
        <v>17</v>
      </c>
    </row>
    <row r="74" spans="1:21" x14ac:dyDescent="0.25">
      <c r="A74" t="s">
        <v>457</v>
      </c>
      <c r="L74" t="s">
        <v>990</v>
      </c>
      <c r="M74" t="s">
        <v>458</v>
      </c>
      <c r="N74" t="s">
        <v>459</v>
      </c>
      <c r="O74" t="s">
        <v>333</v>
      </c>
      <c r="P74" t="s">
        <v>460</v>
      </c>
      <c r="S74" t="s">
        <v>461</v>
      </c>
      <c r="T74" t="s">
        <v>462</v>
      </c>
      <c r="U74" t="s">
        <v>17</v>
      </c>
    </row>
    <row r="75" spans="1:21" x14ac:dyDescent="0.25">
      <c r="A75" t="s">
        <v>463</v>
      </c>
      <c r="E75" t="s">
        <v>961</v>
      </c>
      <c r="F75" t="s">
        <v>955</v>
      </c>
      <c r="G75" t="s">
        <v>954</v>
      </c>
      <c r="I75" t="s">
        <v>1023</v>
      </c>
      <c r="M75" t="s">
        <v>136</v>
      </c>
      <c r="N75" t="s">
        <v>464</v>
      </c>
      <c r="O75" t="s">
        <v>60</v>
      </c>
      <c r="P75" t="s">
        <v>465</v>
      </c>
      <c r="S75" t="s">
        <v>466</v>
      </c>
      <c r="T75" t="s">
        <v>467</v>
      </c>
      <c r="U75" t="s">
        <v>17</v>
      </c>
    </row>
    <row r="76" spans="1:21" x14ac:dyDescent="0.25">
      <c r="A76" t="s">
        <v>468</v>
      </c>
      <c r="I76" t="s">
        <v>1023</v>
      </c>
      <c r="M76" t="s">
        <v>469</v>
      </c>
      <c r="N76" t="s">
        <v>470</v>
      </c>
      <c r="O76" t="s">
        <v>271</v>
      </c>
      <c r="P76" t="s">
        <v>471</v>
      </c>
      <c r="S76" t="s">
        <v>472</v>
      </c>
      <c r="T76" t="s">
        <v>473</v>
      </c>
      <c r="U76" t="s">
        <v>17</v>
      </c>
    </row>
    <row r="77" spans="1:21" x14ac:dyDescent="0.25">
      <c r="A77" t="s">
        <v>474</v>
      </c>
      <c r="I77" t="s">
        <v>1023</v>
      </c>
      <c r="M77" t="s">
        <v>469</v>
      </c>
      <c r="N77" t="s">
        <v>475</v>
      </c>
      <c r="O77" t="s">
        <v>271</v>
      </c>
      <c r="P77" t="s">
        <v>476</v>
      </c>
      <c r="Q77" t="s">
        <v>477</v>
      </c>
      <c r="S77" t="s">
        <v>478</v>
      </c>
      <c r="T77" t="s">
        <v>479</v>
      </c>
      <c r="U77" t="s">
        <v>17</v>
      </c>
    </row>
    <row r="78" spans="1:21" x14ac:dyDescent="0.25">
      <c r="A78" t="s">
        <v>480</v>
      </c>
      <c r="B78" t="s">
        <v>1022</v>
      </c>
      <c r="M78" t="s">
        <v>415</v>
      </c>
      <c r="N78" t="s">
        <v>481</v>
      </c>
      <c r="O78" t="s">
        <v>482</v>
      </c>
      <c r="P78" t="s">
        <v>483</v>
      </c>
      <c r="Q78" t="s">
        <v>484</v>
      </c>
      <c r="R78" t="s">
        <v>485</v>
      </c>
      <c r="S78" t="s">
        <v>412</v>
      </c>
      <c r="T78" t="s">
        <v>413</v>
      </c>
      <c r="U78" t="s">
        <v>17</v>
      </c>
    </row>
    <row r="79" spans="1:21" x14ac:dyDescent="0.25">
      <c r="A79" t="s">
        <v>486</v>
      </c>
      <c r="I79" t="s">
        <v>1023</v>
      </c>
      <c r="J79" t="s">
        <v>968</v>
      </c>
      <c r="K79" t="s">
        <v>976</v>
      </c>
      <c r="M79" t="s">
        <v>487</v>
      </c>
      <c r="N79" t="s">
        <v>488</v>
      </c>
      <c r="O79" t="s">
        <v>489</v>
      </c>
      <c r="P79" t="s">
        <v>490</v>
      </c>
      <c r="Q79" t="s">
        <v>491</v>
      </c>
      <c r="R79" t="s">
        <v>492</v>
      </c>
      <c r="S79" t="s">
        <v>493</v>
      </c>
      <c r="T79" t="s">
        <v>494</v>
      </c>
      <c r="U79" t="s">
        <v>17</v>
      </c>
    </row>
    <row r="80" spans="1:21" x14ac:dyDescent="0.25">
      <c r="A80" t="s">
        <v>495</v>
      </c>
      <c r="E80" t="s">
        <v>961</v>
      </c>
      <c r="F80" t="s">
        <v>955</v>
      </c>
      <c r="G80" t="s">
        <v>954</v>
      </c>
      <c r="M80" t="s">
        <v>496</v>
      </c>
      <c r="N80" t="s">
        <v>497</v>
      </c>
      <c r="O80" t="s">
        <v>498</v>
      </c>
      <c r="P80" t="s">
        <v>499</v>
      </c>
      <c r="Q80" t="s">
        <v>500</v>
      </c>
      <c r="R80" t="s">
        <v>501</v>
      </c>
      <c r="S80" t="s">
        <v>502</v>
      </c>
      <c r="T80" t="s">
        <v>503</v>
      </c>
      <c r="U80" t="s">
        <v>17</v>
      </c>
    </row>
    <row r="81" spans="1:21" x14ac:dyDescent="0.25">
      <c r="A81" t="s">
        <v>504</v>
      </c>
      <c r="C81" t="s">
        <v>947</v>
      </c>
      <c r="D81" t="s">
        <v>945</v>
      </c>
      <c r="M81" t="s">
        <v>505</v>
      </c>
      <c r="N81" t="s">
        <v>506</v>
      </c>
      <c r="O81" t="s">
        <v>507</v>
      </c>
      <c r="P81" t="s">
        <v>508</v>
      </c>
      <c r="Q81" t="s">
        <v>509</v>
      </c>
      <c r="S81" t="s">
        <v>510</v>
      </c>
      <c r="T81" t="s">
        <v>511</v>
      </c>
      <c r="U81" t="s">
        <v>17</v>
      </c>
    </row>
    <row r="82" spans="1:21" x14ac:dyDescent="0.25">
      <c r="A82" t="s">
        <v>512</v>
      </c>
      <c r="C82" t="s">
        <v>947</v>
      </c>
      <c r="D82" t="s">
        <v>945</v>
      </c>
      <c r="M82" t="s">
        <v>505</v>
      </c>
      <c r="N82" t="s">
        <v>513</v>
      </c>
      <c r="O82" t="s">
        <v>507</v>
      </c>
      <c r="P82" t="s">
        <v>514</v>
      </c>
      <c r="Q82" t="s">
        <v>515</v>
      </c>
      <c r="S82" t="s">
        <v>510</v>
      </c>
      <c r="T82" t="s">
        <v>511</v>
      </c>
      <c r="U82" t="s">
        <v>17</v>
      </c>
    </row>
    <row r="83" spans="1:21" x14ac:dyDescent="0.25">
      <c r="A83" t="s">
        <v>516</v>
      </c>
      <c r="I83" t="s">
        <v>1023</v>
      </c>
      <c r="J83" t="s">
        <v>968</v>
      </c>
      <c r="M83" t="s">
        <v>517</v>
      </c>
      <c r="N83" t="s">
        <v>518</v>
      </c>
      <c r="O83" t="s">
        <v>235</v>
      </c>
      <c r="P83" t="s">
        <v>519</v>
      </c>
      <c r="S83" t="s">
        <v>520</v>
      </c>
      <c r="T83" t="s">
        <v>521</v>
      </c>
      <c r="U83" t="s">
        <v>17</v>
      </c>
    </row>
    <row r="84" spans="1:21" x14ac:dyDescent="0.25">
      <c r="A84" t="s">
        <v>522</v>
      </c>
      <c r="I84" t="s">
        <v>1023</v>
      </c>
      <c r="J84" t="s">
        <v>968</v>
      </c>
      <c r="M84" t="s">
        <v>517</v>
      </c>
      <c r="N84" t="s">
        <v>523</v>
      </c>
      <c r="O84" t="s">
        <v>235</v>
      </c>
      <c r="P84" t="s">
        <v>524</v>
      </c>
      <c r="S84" t="s">
        <v>525</v>
      </c>
      <c r="T84" t="s">
        <v>526</v>
      </c>
      <c r="U84" t="s">
        <v>17</v>
      </c>
    </row>
    <row r="85" spans="1:21" x14ac:dyDescent="0.25">
      <c r="A85" t="s">
        <v>527</v>
      </c>
      <c r="I85" t="s">
        <v>1023</v>
      </c>
      <c r="J85" t="s">
        <v>968</v>
      </c>
      <c r="M85" t="s">
        <v>517</v>
      </c>
      <c r="N85" t="s">
        <v>528</v>
      </c>
      <c r="O85" t="s">
        <v>235</v>
      </c>
      <c r="P85" t="s">
        <v>529</v>
      </c>
      <c r="S85" t="s">
        <v>530</v>
      </c>
      <c r="T85" t="s">
        <v>531</v>
      </c>
      <c r="U85" t="s">
        <v>17</v>
      </c>
    </row>
    <row r="86" spans="1:21" x14ac:dyDescent="0.25">
      <c r="A86" t="s">
        <v>532</v>
      </c>
      <c r="I86" t="s">
        <v>1023</v>
      </c>
      <c r="J86" t="s">
        <v>968</v>
      </c>
      <c r="M86" t="s">
        <v>517</v>
      </c>
      <c r="N86" t="s">
        <v>533</v>
      </c>
      <c r="O86" t="s">
        <v>235</v>
      </c>
      <c r="P86" t="s">
        <v>534</v>
      </c>
      <c r="S86" t="s">
        <v>535</v>
      </c>
      <c r="T86" t="s">
        <v>536</v>
      </c>
      <c r="U86" t="s">
        <v>17</v>
      </c>
    </row>
    <row r="87" spans="1:21" x14ac:dyDescent="0.25">
      <c r="A87" t="s">
        <v>537</v>
      </c>
      <c r="I87" t="s">
        <v>1023</v>
      </c>
      <c r="J87" t="s">
        <v>968</v>
      </c>
      <c r="M87" t="s">
        <v>517</v>
      </c>
      <c r="N87" t="s">
        <v>538</v>
      </c>
      <c r="O87" t="s">
        <v>235</v>
      </c>
      <c r="P87" t="s">
        <v>538</v>
      </c>
      <c r="S87" t="s">
        <v>539</v>
      </c>
      <c r="T87" t="s">
        <v>540</v>
      </c>
      <c r="U87" t="s">
        <v>17</v>
      </c>
    </row>
    <row r="88" spans="1:21" x14ac:dyDescent="0.25">
      <c r="A88" t="s">
        <v>541</v>
      </c>
      <c r="I88" t="s">
        <v>1023</v>
      </c>
      <c r="J88" t="s">
        <v>968</v>
      </c>
      <c r="M88" t="s">
        <v>542</v>
      </c>
      <c r="N88" t="s">
        <v>543</v>
      </c>
      <c r="O88" t="s">
        <v>235</v>
      </c>
      <c r="P88" t="s">
        <v>544</v>
      </c>
      <c r="S88" t="s">
        <v>545</v>
      </c>
      <c r="T88" t="s">
        <v>546</v>
      </c>
      <c r="U88" t="s">
        <v>17</v>
      </c>
    </row>
    <row r="89" spans="1:21" x14ac:dyDescent="0.25">
      <c r="A89" t="s">
        <v>547</v>
      </c>
      <c r="I89" t="s">
        <v>1023</v>
      </c>
      <c r="J89" t="s">
        <v>968</v>
      </c>
      <c r="M89" t="s">
        <v>517</v>
      </c>
      <c r="N89" t="s">
        <v>548</v>
      </c>
      <c r="O89" t="s">
        <v>235</v>
      </c>
      <c r="P89" t="s">
        <v>548</v>
      </c>
      <c r="S89" t="s">
        <v>549</v>
      </c>
      <c r="T89" t="s">
        <v>550</v>
      </c>
      <c r="U89" t="s">
        <v>17</v>
      </c>
    </row>
    <row r="90" spans="1:21" x14ac:dyDescent="0.25">
      <c r="A90" t="s">
        <v>551</v>
      </c>
      <c r="I90" t="s">
        <v>1023</v>
      </c>
      <c r="J90" t="s">
        <v>968</v>
      </c>
      <c r="M90" t="s">
        <v>517</v>
      </c>
      <c r="N90" t="s">
        <v>552</v>
      </c>
      <c r="O90" t="s">
        <v>235</v>
      </c>
      <c r="P90" t="s">
        <v>553</v>
      </c>
      <c r="S90" t="s">
        <v>554</v>
      </c>
      <c r="T90" t="s">
        <v>555</v>
      </c>
      <c r="U90" t="s">
        <v>17</v>
      </c>
    </row>
    <row r="91" spans="1:21" x14ac:dyDescent="0.25">
      <c r="A91" t="s">
        <v>556</v>
      </c>
      <c r="I91" t="s">
        <v>1023</v>
      </c>
      <c r="J91" t="s">
        <v>968</v>
      </c>
      <c r="M91" t="s">
        <v>517</v>
      </c>
      <c r="N91" t="s">
        <v>557</v>
      </c>
      <c r="O91" t="s">
        <v>235</v>
      </c>
      <c r="P91" t="s">
        <v>557</v>
      </c>
      <c r="S91" t="s">
        <v>558</v>
      </c>
      <c r="T91" t="s">
        <v>559</v>
      </c>
      <c r="U91" t="s">
        <v>17</v>
      </c>
    </row>
    <row r="92" spans="1:21" x14ac:dyDescent="0.25">
      <c r="A92" t="s">
        <v>560</v>
      </c>
      <c r="I92" t="s">
        <v>1023</v>
      </c>
      <c r="J92" t="s">
        <v>968</v>
      </c>
      <c r="M92" t="s">
        <v>517</v>
      </c>
      <c r="N92" t="s">
        <v>561</v>
      </c>
      <c r="O92" t="s">
        <v>235</v>
      </c>
      <c r="P92" t="s">
        <v>561</v>
      </c>
      <c r="S92" t="s">
        <v>562</v>
      </c>
      <c r="T92" t="s">
        <v>563</v>
      </c>
      <c r="U92" t="s">
        <v>17</v>
      </c>
    </row>
    <row r="93" spans="1:21" x14ac:dyDescent="0.25">
      <c r="A93" t="s">
        <v>564</v>
      </c>
      <c r="C93" t="s">
        <v>947</v>
      </c>
      <c r="D93" t="s">
        <v>945</v>
      </c>
      <c r="M93" t="s">
        <v>565</v>
      </c>
      <c r="N93" t="s">
        <v>566</v>
      </c>
      <c r="O93" t="s">
        <v>567</v>
      </c>
      <c r="P93" t="s">
        <v>568</v>
      </c>
      <c r="Q93" t="s">
        <v>569</v>
      </c>
      <c r="R93" t="s">
        <v>570</v>
      </c>
      <c r="S93" t="s">
        <v>571</v>
      </c>
      <c r="T93" t="s">
        <v>572</v>
      </c>
      <c r="U93" t="s">
        <v>17</v>
      </c>
    </row>
    <row r="94" spans="1:21" x14ac:dyDescent="0.25">
      <c r="A94" t="s">
        <v>573</v>
      </c>
      <c r="K94" t="s">
        <v>976</v>
      </c>
      <c r="M94" t="s">
        <v>574</v>
      </c>
      <c r="N94" t="s">
        <v>575</v>
      </c>
      <c r="O94" t="s">
        <v>576</v>
      </c>
      <c r="P94" t="s">
        <v>577</v>
      </c>
      <c r="Q94" t="s">
        <v>578</v>
      </c>
      <c r="R94" t="s">
        <v>579</v>
      </c>
      <c r="S94" t="s">
        <v>580</v>
      </c>
      <c r="T94" t="s">
        <v>581</v>
      </c>
      <c r="U94" t="s">
        <v>17</v>
      </c>
    </row>
    <row r="95" spans="1:21" x14ac:dyDescent="0.25">
      <c r="A95" t="s">
        <v>582</v>
      </c>
      <c r="H95" t="s">
        <v>978</v>
      </c>
      <c r="K95" t="s">
        <v>976</v>
      </c>
      <c r="M95" t="s">
        <v>219</v>
      </c>
      <c r="N95" t="s">
        <v>220</v>
      </c>
      <c r="O95" t="s">
        <v>583</v>
      </c>
      <c r="P95" t="s">
        <v>584</v>
      </c>
      <c r="Q95" t="s">
        <v>585</v>
      </c>
      <c r="S95" t="s">
        <v>586</v>
      </c>
      <c r="T95" t="s">
        <v>587</v>
      </c>
      <c r="U95" t="s">
        <v>17</v>
      </c>
    </row>
    <row r="96" spans="1:21" x14ac:dyDescent="0.25">
      <c r="A96" t="s">
        <v>588</v>
      </c>
      <c r="C96" t="s">
        <v>947</v>
      </c>
      <c r="D96" t="s">
        <v>945</v>
      </c>
      <c r="M96" t="s">
        <v>565</v>
      </c>
      <c r="N96" t="s">
        <v>589</v>
      </c>
      <c r="O96" t="s">
        <v>567</v>
      </c>
      <c r="P96" t="s">
        <v>590</v>
      </c>
      <c r="Q96" t="s">
        <v>591</v>
      </c>
      <c r="R96" t="s">
        <v>592</v>
      </c>
      <c r="S96" t="s">
        <v>571</v>
      </c>
      <c r="T96" t="s">
        <v>572</v>
      </c>
      <c r="U96" t="s">
        <v>17</v>
      </c>
    </row>
    <row r="97" spans="1:21" x14ac:dyDescent="0.25">
      <c r="A97" t="s">
        <v>593</v>
      </c>
      <c r="C97" t="s">
        <v>947</v>
      </c>
      <c r="D97" t="s">
        <v>945</v>
      </c>
      <c r="M97" t="s">
        <v>565</v>
      </c>
      <c r="N97" t="s">
        <v>594</v>
      </c>
      <c r="O97" t="s">
        <v>567</v>
      </c>
      <c r="P97" t="s">
        <v>595</v>
      </c>
      <c r="Q97" t="s">
        <v>596</v>
      </c>
      <c r="R97" t="s">
        <v>597</v>
      </c>
      <c r="S97" t="s">
        <v>571</v>
      </c>
      <c r="T97" t="s">
        <v>572</v>
      </c>
      <c r="U97" t="s">
        <v>17</v>
      </c>
    </row>
    <row r="98" spans="1:21" x14ac:dyDescent="0.25">
      <c r="A98" t="s">
        <v>598</v>
      </c>
      <c r="C98" t="s">
        <v>947</v>
      </c>
      <c r="D98" t="s">
        <v>945</v>
      </c>
      <c r="M98" t="s">
        <v>565</v>
      </c>
      <c r="N98" t="s">
        <v>599</v>
      </c>
      <c r="O98" t="s">
        <v>567</v>
      </c>
      <c r="P98" t="s">
        <v>600</v>
      </c>
      <c r="Q98" t="s">
        <v>601</v>
      </c>
      <c r="S98" t="s">
        <v>571</v>
      </c>
      <c r="T98" t="s">
        <v>572</v>
      </c>
      <c r="U98" t="s">
        <v>17</v>
      </c>
    </row>
    <row r="99" spans="1:21" x14ac:dyDescent="0.25">
      <c r="A99" t="s">
        <v>602</v>
      </c>
      <c r="C99" t="s">
        <v>947</v>
      </c>
      <c r="D99" t="s">
        <v>945</v>
      </c>
      <c r="M99" t="s">
        <v>565</v>
      </c>
      <c r="N99" t="s">
        <v>603</v>
      </c>
      <c r="O99" t="s">
        <v>567</v>
      </c>
      <c r="P99" t="s">
        <v>604</v>
      </c>
      <c r="Q99" t="s">
        <v>605</v>
      </c>
      <c r="S99" t="s">
        <v>571</v>
      </c>
      <c r="T99" t="s">
        <v>572</v>
      </c>
      <c r="U99" t="s">
        <v>17</v>
      </c>
    </row>
    <row r="100" spans="1:21" x14ac:dyDescent="0.25">
      <c r="A100" t="s">
        <v>606</v>
      </c>
      <c r="C100" t="s">
        <v>947</v>
      </c>
      <c r="D100" t="s">
        <v>945</v>
      </c>
      <c r="M100" t="s">
        <v>565</v>
      </c>
      <c r="N100" t="s">
        <v>607</v>
      </c>
      <c r="O100" t="s">
        <v>567</v>
      </c>
      <c r="P100" t="s">
        <v>608</v>
      </c>
      <c r="Q100" t="s">
        <v>609</v>
      </c>
      <c r="R100" t="s">
        <v>610</v>
      </c>
      <c r="S100" t="s">
        <v>571</v>
      </c>
      <c r="T100" t="s">
        <v>572</v>
      </c>
      <c r="U100" t="s">
        <v>17</v>
      </c>
    </row>
    <row r="101" spans="1:21" x14ac:dyDescent="0.25">
      <c r="A101" t="s">
        <v>611</v>
      </c>
      <c r="C101" t="s">
        <v>947</v>
      </c>
      <c r="D101" t="s">
        <v>945</v>
      </c>
      <c r="M101" t="s">
        <v>565</v>
      </c>
      <c r="N101" t="s">
        <v>612</v>
      </c>
      <c r="O101" t="s">
        <v>567</v>
      </c>
      <c r="P101" t="s">
        <v>613</v>
      </c>
      <c r="Q101" t="s">
        <v>614</v>
      </c>
      <c r="R101" t="s">
        <v>615</v>
      </c>
      <c r="S101" t="s">
        <v>571</v>
      </c>
      <c r="T101" t="s">
        <v>572</v>
      </c>
      <c r="U101" t="s">
        <v>17</v>
      </c>
    </row>
    <row r="102" spans="1:21" x14ac:dyDescent="0.25">
      <c r="A102" t="s">
        <v>616</v>
      </c>
      <c r="C102" t="s">
        <v>947</v>
      </c>
      <c r="D102" t="s">
        <v>945</v>
      </c>
      <c r="M102" t="s">
        <v>565</v>
      </c>
      <c r="N102" t="s">
        <v>617</v>
      </c>
      <c r="O102" t="s">
        <v>567</v>
      </c>
      <c r="P102" t="s">
        <v>618</v>
      </c>
      <c r="Q102" t="s">
        <v>619</v>
      </c>
      <c r="S102" t="s">
        <v>571</v>
      </c>
      <c r="T102" t="s">
        <v>572</v>
      </c>
      <c r="U102" t="s">
        <v>17</v>
      </c>
    </row>
    <row r="103" spans="1:21" x14ac:dyDescent="0.25">
      <c r="A103" t="s">
        <v>620</v>
      </c>
      <c r="C103" t="s">
        <v>947</v>
      </c>
      <c r="D103" t="s">
        <v>945</v>
      </c>
      <c r="M103" t="s">
        <v>159</v>
      </c>
      <c r="N103" t="s">
        <v>621</v>
      </c>
      <c r="O103" t="s">
        <v>90</v>
      </c>
      <c r="P103" t="s">
        <v>622</v>
      </c>
      <c r="Q103" t="s">
        <v>623</v>
      </c>
      <c r="S103" t="s">
        <v>94</v>
      </c>
      <c r="T103" t="s">
        <v>95</v>
      </c>
      <c r="U103" t="s">
        <v>17</v>
      </c>
    </row>
    <row r="104" spans="1:21" x14ac:dyDescent="0.25">
      <c r="A104" t="s">
        <v>624</v>
      </c>
      <c r="B104" t="s">
        <v>1022</v>
      </c>
      <c r="M104" t="s">
        <v>625</v>
      </c>
      <c r="N104" t="s">
        <v>626</v>
      </c>
      <c r="O104" t="s">
        <v>627</v>
      </c>
      <c r="P104" t="s">
        <v>628</v>
      </c>
      <c r="Q104" t="s">
        <v>629</v>
      </c>
      <c r="R104" t="s">
        <v>630</v>
      </c>
      <c r="S104" t="s">
        <v>631</v>
      </c>
      <c r="T104" t="s">
        <v>632</v>
      </c>
      <c r="U104" t="s">
        <v>17</v>
      </c>
    </row>
    <row r="105" spans="1:21" x14ac:dyDescent="0.25">
      <c r="A105" t="s">
        <v>633</v>
      </c>
      <c r="D105" t="s">
        <v>945</v>
      </c>
      <c r="M105" t="s">
        <v>634</v>
      </c>
      <c r="N105" t="s">
        <v>153</v>
      </c>
      <c r="O105" t="s">
        <v>635</v>
      </c>
      <c r="P105" t="s">
        <v>636</v>
      </c>
      <c r="S105" t="s">
        <v>637</v>
      </c>
      <c r="T105" t="s">
        <v>638</v>
      </c>
      <c r="U105" t="s">
        <v>17</v>
      </c>
    </row>
    <row r="106" spans="1:21" x14ac:dyDescent="0.25">
      <c r="A106" t="s">
        <v>639</v>
      </c>
      <c r="E106" t="s">
        <v>961</v>
      </c>
      <c r="F106" t="s">
        <v>955</v>
      </c>
      <c r="M106" t="s">
        <v>640</v>
      </c>
      <c r="N106" t="s">
        <v>641</v>
      </c>
      <c r="O106" t="s">
        <v>642</v>
      </c>
      <c r="P106" t="s">
        <v>643</v>
      </c>
      <c r="S106" t="s">
        <v>644</v>
      </c>
      <c r="T106" t="s">
        <v>645</v>
      </c>
      <c r="U106" t="s">
        <v>17</v>
      </c>
    </row>
    <row r="107" spans="1:21" x14ac:dyDescent="0.25">
      <c r="A107" t="s">
        <v>646</v>
      </c>
      <c r="I107" t="s">
        <v>1023</v>
      </c>
      <c r="J107" t="s">
        <v>968</v>
      </c>
      <c r="M107" t="s">
        <v>136</v>
      </c>
      <c r="N107" t="s">
        <v>647</v>
      </c>
      <c r="O107" t="s">
        <v>648</v>
      </c>
      <c r="P107" t="s">
        <v>649</v>
      </c>
      <c r="S107" t="s">
        <v>650</v>
      </c>
      <c r="T107" t="s">
        <v>651</v>
      </c>
      <c r="U107" t="s">
        <v>17</v>
      </c>
    </row>
    <row r="108" spans="1:21" x14ac:dyDescent="0.25">
      <c r="A108" t="s">
        <v>652</v>
      </c>
      <c r="C108" t="s">
        <v>947</v>
      </c>
      <c r="D108" t="s">
        <v>945</v>
      </c>
      <c r="M108" t="s">
        <v>653</v>
      </c>
      <c r="N108" t="s">
        <v>654</v>
      </c>
      <c r="O108" t="s">
        <v>655</v>
      </c>
      <c r="P108" t="s">
        <v>656</v>
      </c>
      <c r="Q108" t="s">
        <v>657</v>
      </c>
      <c r="R108" t="s">
        <v>658</v>
      </c>
      <c r="S108" t="s">
        <v>659</v>
      </c>
      <c r="T108" t="s">
        <v>660</v>
      </c>
      <c r="U108" t="s">
        <v>17</v>
      </c>
    </row>
    <row r="109" spans="1:21" x14ac:dyDescent="0.25">
      <c r="A109" t="s">
        <v>661</v>
      </c>
      <c r="C109" t="s">
        <v>947</v>
      </c>
      <c r="D109" t="s">
        <v>945</v>
      </c>
      <c r="M109" t="s">
        <v>653</v>
      </c>
      <c r="N109" t="s">
        <v>662</v>
      </c>
      <c r="O109" t="s">
        <v>655</v>
      </c>
      <c r="P109" t="s">
        <v>663</v>
      </c>
      <c r="Q109" t="s">
        <v>664</v>
      </c>
      <c r="R109" t="s">
        <v>665</v>
      </c>
      <c r="S109" t="s">
        <v>659</v>
      </c>
      <c r="T109" t="s">
        <v>660</v>
      </c>
      <c r="U109" t="s">
        <v>17</v>
      </c>
    </row>
    <row r="110" spans="1:21" x14ac:dyDescent="0.25">
      <c r="A110" t="s">
        <v>666</v>
      </c>
      <c r="C110" t="s">
        <v>947</v>
      </c>
      <c r="D110" t="s">
        <v>945</v>
      </c>
      <c r="M110" t="s">
        <v>653</v>
      </c>
      <c r="N110" t="s">
        <v>654</v>
      </c>
      <c r="O110" t="s">
        <v>655</v>
      </c>
      <c r="P110" t="s">
        <v>656</v>
      </c>
      <c r="Q110" t="s">
        <v>657</v>
      </c>
      <c r="R110" t="s">
        <v>667</v>
      </c>
      <c r="S110" t="s">
        <v>659</v>
      </c>
      <c r="T110" t="s">
        <v>660</v>
      </c>
      <c r="U110" t="s">
        <v>17</v>
      </c>
    </row>
    <row r="111" spans="1:21" x14ac:dyDescent="0.25">
      <c r="A111" t="s">
        <v>668</v>
      </c>
      <c r="C111" t="s">
        <v>947</v>
      </c>
      <c r="D111" t="s">
        <v>945</v>
      </c>
      <c r="M111" t="s">
        <v>653</v>
      </c>
      <c r="N111" t="s">
        <v>669</v>
      </c>
      <c r="O111" t="s">
        <v>655</v>
      </c>
      <c r="P111" t="s">
        <v>670</v>
      </c>
      <c r="Q111" t="s">
        <v>671</v>
      </c>
      <c r="R111" t="s">
        <v>672</v>
      </c>
      <c r="S111" t="s">
        <v>659</v>
      </c>
      <c r="T111" t="s">
        <v>660</v>
      </c>
      <c r="U111" t="s">
        <v>17</v>
      </c>
    </row>
    <row r="112" spans="1:21" x14ac:dyDescent="0.25">
      <c r="A112" t="s">
        <v>673</v>
      </c>
      <c r="H112" t="s">
        <v>978</v>
      </c>
      <c r="M112" t="s">
        <v>159</v>
      </c>
      <c r="N112" t="s">
        <v>674</v>
      </c>
      <c r="O112" t="s">
        <v>90</v>
      </c>
      <c r="P112" t="s">
        <v>91</v>
      </c>
      <c r="Q112" t="s">
        <v>675</v>
      </c>
      <c r="S112" t="s">
        <v>94</v>
      </c>
      <c r="T112" t="s">
        <v>95</v>
      </c>
      <c r="U112" t="s">
        <v>17</v>
      </c>
    </row>
    <row r="113" spans="1:21" x14ac:dyDescent="0.25">
      <c r="A113" t="s">
        <v>676</v>
      </c>
      <c r="E113" t="s">
        <v>961</v>
      </c>
      <c r="F113" t="s">
        <v>955</v>
      </c>
      <c r="M113" t="s">
        <v>653</v>
      </c>
      <c r="N113" t="s">
        <v>677</v>
      </c>
      <c r="O113" t="s">
        <v>655</v>
      </c>
      <c r="P113" t="s">
        <v>678</v>
      </c>
      <c r="Q113" t="s">
        <v>679</v>
      </c>
      <c r="R113" t="s">
        <v>680</v>
      </c>
      <c r="S113" t="s">
        <v>659</v>
      </c>
      <c r="T113" t="s">
        <v>660</v>
      </c>
      <c r="U113" t="s">
        <v>17</v>
      </c>
    </row>
    <row r="114" spans="1:21" x14ac:dyDescent="0.25">
      <c r="A114" t="s">
        <v>681</v>
      </c>
      <c r="G114" t="s">
        <v>954</v>
      </c>
      <c r="M114" t="s">
        <v>682</v>
      </c>
      <c r="N114" t="s">
        <v>683</v>
      </c>
      <c r="O114" t="s">
        <v>684</v>
      </c>
      <c r="P114" t="s">
        <v>685</v>
      </c>
      <c r="S114" t="s">
        <v>686</v>
      </c>
      <c r="T114" t="s">
        <v>687</v>
      </c>
      <c r="U114" t="s">
        <v>17</v>
      </c>
    </row>
    <row r="115" spans="1:21" x14ac:dyDescent="0.25">
      <c r="A115" t="s">
        <v>688</v>
      </c>
      <c r="G115" t="s">
        <v>954</v>
      </c>
      <c r="M115" t="s">
        <v>682</v>
      </c>
      <c r="N115" t="s">
        <v>689</v>
      </c>
      <c r="O115" t="s">
        <v>684</v>
      </c>
      <c r="P115" t="s">
        <v>690</v>
      </c>
      <c r="S115" t="s">
        <v>686</v>
      </c>
      <c r="T115" t="s">
        <v>687</v>
      </c>
      <c r="U115" t="s">
        <v>17</v>
      </c>
    </row>
    <row r="116" spans="1:21" x14ac:dyDescent="0.25">
      <c r="A116" t="s">
        <v>691</v>
      </c>
      <c r="G116" t="s">
        <v>954</v>
      </c>
      <c r="M116" t="s">
        <v>682</v>
      </c>
      <c r="N116" t="s">
        <v>692</v>
      </c>
      <c r="O116" t="s">
        <v>684</v>
      </c>
      <c r="P116" t="s">
        <v>693</v>
      </c>
      <c r="S116" t="s">
        <v>686</v>
      </c>
      <c r="T116" t="s">
        <v>687</v>
      </c>
      <c r="U116" t="s">
        <v>17</v>
      </c>
    </row>
    <row r="117" spans="1:21" x14ac:dyDescent="0.25">
      <c r="A117" t="s">
        <v>694</v>
      </c>
      <c r="C117" t="s">
        <v>947</v>
      </c>
      <c r="D117" t="s">
        <v>945</v>
      </c>
      <c r="E117" t="s">
        <v>961</v>
      </c>
      <c r="F117" t="s">
        <v>955</v>
      </c>
      <c r="M117" t="s">
        <v>653</v>
      </c>
      <c r="N117" t="s">
        <v>695</v>
      </c>
      <c r="O117" t="s">
        <v>655</v>
      </c>
      <c r="P117" t="s">
        <v>696</v>
      </c>
      <c r="Q117" t="s">
        <v>697</v>
      </c>
      <c r="R117" t="s">
        <v>698</v>
      </c>
      <c r="S117" t="s">
        <v>659</v>
      </c>
      <c r="T117" t="s">
        <v>660</v>
      </c>
      <c r="U117" t="s">
        <v>17</v>
      </c>
    </row>
    <row r="118" spans="1:21" x14ac:dyDescent="0.25">
      <c r="A118" t="s">
        <v>699</v>
      </c>
      <c r="F118" t="s">
        <v>955</v>
      </c>
      <c r="M118" t="s">
        <v>700</v>
      </c>
      <c r="N118" t="s">
        <v>701</v>
      </c>
      <c r="O118" t="s">
        <v>702</v>
      </c>
      <c r="P118" t="s">
        <v>703</v>
      </c>
      <c r="Q118" t="s">
        <v>704</v>
      </c>
      <c r="S118" t="s">
        <v>705</v>
      </c>
      <c r="T118" t="s">
        <v>706</v>
      </c>
      <c r="U118" t="s">
        <v>17</v>
      </c>
    </row>
    <row r="119" spans="1:21" x14ac:dyDescent="0.25">
      <c r="A119" t="s">
        <v>707</v>
      </c>
      <c r="I119" t="s">
        <v>1023</v>
      </c>
      <c r="M119" t="s">
        <v>708</v>
      </c>
      <c r="N119" t="s">
        <v>709</v>
      </c>
      <c r="O119" t="s">
        <v>710</v>
      </c>
      <c r="P119" t="s">
        <v>709</v>
      </c>
      <c r="S119" t="s">
        <v>711</v>
      </c>
      <c r="T119" t="s">
        <v>712</v>
      </c>
      <c r="U119" t="s">
        <v>17</v>
      </c>
    </row>
    <row r="120" spans="1:21" x14ac:dyDescent="0.25">
      <c r="A120" t="s">
        <v>713</v>
      </c>
      <c r="I120" t="s">
        <v>1023</v>
      </c>
      <c r="M120" t="s">
        <v>708</v>
      </c>
      <c r="N120" t="s">
        <v>714</v>
      </c>
      <c r="O120" t="s">
        <v>710</v>
      </c>
      <c r="P120" t="s">
        <v>714</v>
      </c>
      <c r="S120" t="s">
        <v>711</v>
      </c>
      <c r="T120" t="s">
        <v>712</v>
      </c>
      <c r="U120" t="s">
        <v>17</v>
      </c>
    </row>
    <row r="121" spans="1:21" x14ac:dyDescent="0.25">
      <c r="A121" t="s">
        <v>715</v>
      </c>
      <c r="I121" t="s">
        <v>1023</v>
      </c>
      <c r="M121" t="s">
        <v>708</v>
      </c>
      <c r="N121" t="s">
        <v>716</v>
      </c>
      <c r="O121" t="s">
        <v>710</v>
      </c>
      <c r="P121" t="s">
        <v>716</v>
      </c>
      <c r="S121" t="s">
        <v>711</v>
      </c>
      <c r="T121" t="s">
        <v>712</v>
      </c>
      <c r="U121" t="s">
        <v>17</v>
      </c>
    </row>
    <row r="122" spans="1:21" x14ac:dyDescent="0.25">
      <c r="A122" t="s">
        <v>717</v>
      </c>
      <c r="I122" t="s">
        <v>1023</v>
      </c>
      <c r="M122" t="s">
        <v>708</v>
      </c>
      <c r="N122" t="s">
        <v>718</v>
      </c>
      <c r="O122" t="s">
        <v>710</v>
      </c>
      <c r="P122" t="s">
        <v>718</v>
      </c>
      <c r="S122" t="s">
        <v>711</v>
      </c>
      <c r="T122" t="s">
        <v>712</v>
      </c>
      <c r="U122" t="s">
        <v>17</v>
      </c>
    </row>
    <row r="123" spans="1:21" x14ac:dyDescent="0.25">
      <c r="A123" t="s">
        <v>719</v>
      </c>
      <c r="I123" t="s">
        <v>1023</v>
      </c>
      <c r="M123" t="s">
        <v>708</v>
      </c>
      <c r="N123" t="s">
        <v>720</v>
      </c>
      <c r="O123" t="s">
        <v>710</v>
      </c>
      <c r="P123" t="s">
        <v>720</v>
      </c>
      <c r="S123" t="s">
        <v>711</v>
      </c>
      <c r="T123" t="s">
        <v>712</v>
      </c>
      <c r="U123" t="s">
        <v>17</v>
      </c>
    </row>
    <row r="124" spans="1:21" x14ac:dyDescent="0.25">
      <c r="A124" t="s">
        <v>721</v>
      </c>
      <c r="I124" t="s">
        <v>1023</v>
      </c>
      <c r="M124" t="s">
        <v>708</v>
      </c>
      <c r="N124" t="s">
        <v>722</v>
      </c>
      <c r="O124" t="s">
        <v>710</v>
      </c>
      <c r="P124" t="s">
        <v>722</v>
      </c>
      <c r="S124" t="s">
        <v>711</v>
      </c>
      <c r="T124" t="s">
        <v>712</v>
      </c>
      <c r="U124" t="s">
        <v>17</v>
      </c>
    </row>
    <row r="125" spans="1:21" x14ac:dyDescent="0.25">
      <c r="A125" t="s">
        <v>723</v>
      </c>
      <c r="B125" t="s">
        <v>1022</v>
      </c>
      <c r="E125" t="s">
        <v>961</v>
      </c>
      <c r="F125" t="s">
        <v>955</v>
      </c>
      <c r="G125" t="s">
        <v>954</v>
      </c>
      <c r="M125" t="s">
        <v>27</v>
      </c>
      <c r="N125" t="s">
        <v>724</v>
      </c>
      <c r="O125" t="s">
        <v>73</v>
      </c>
      <c r="P125" t="s">
        <v>725</v>
      </c>
      <c r="Q125" t="s">
        <v>726</v>
      </c>
      <c r="R125" t="s">
        <v>727</v>
      </c>
      <c r="S125" t="s">
        <v>728</v>
      </c>
      <c r="T125" t="s">
        <v>729</v>
      </c>
      <c r="U125" t="s">
        <v>17</v>
      </c>
    </row>
    <row r="126" spans="1:21" x14ac:dyDescent="0.25">
      <c r="A126" t="s">
        <v>730</v>
      </c>
      <c r="L126" t="s">
        <v>990</v>
      </c>
      <c r="M126" t="s">
        <v>731</v>
      </c>
      <c r="N126" t="s">
        <v>732</v>
      </c>
      <c r="O126" t="s">
        <v>271</v>
      </c>
      <c r="P126" t="s">
        <v>733</v>
      </c>
      <c r="S126" t="s">
        <v>734</v>
      </c>
      <c r="T126" t="s">
        <v>735</v>
      </c>
      <c r="U126" t="s">
        <v>17</v>
      </c>
    </row>
    <row r="127" spans="1:21" x14ac:dyDescent="0.25">
      <c r="A127" t="s">
        <v>736</v>
      </c>
      <c r="L127" t="s">
        <v>990</v>
      </c>
      <c r="M127" t="s">
        <v>731</v>
      </c>
      <c r="N127" t="s">
        <v>737</v>
      </c>
      <c r="O127" t="s">
        <v>738</v>
      </c>
      <c r="P127" t="s">
        <v>739</v>
      </c>
      <c r="S127" t="s">
        <v>740</v>
      </c>
      <c r="T127" t="s">
        <v>741</v>
      </c>
      <c r="U127" t="s">
        <v>17</v>
      </c>
    </row>
    <row r="128" spans="1:21" x14ac:dyDescent="0.25">
      <c r="A128" t="s">
        <v>742</v>
      </c>
      <c r="B128" t="s">
        <v>1022</v>
      </c>
      <c r="M128" t="s">
        <v>743</v>
      </c>
      <c r="N128" t="s">
        <v>744</v>
      </c>
      <c r="O128" t="s">
        <v>745</v>
      </c>
      <c r="P128" t="s">
        <v>746</v>
      </c>
      <c r="Q128" t="s">
        <v>747</v>
      </c>
      <c r="R128" t="s">
        <v>748</v>
      </c>
      <c r="S128" t="s">
        <v>749</v>
      </c>
      <c r="T128" t="s">
        <v>750</v>
      </c>
      <c r="U128" t="s">
        <v>17</v>
      </c>
    </row>
    <row r="129" spans="1:21" x14ac:dyDescent="0.25">
      <c r="A129" t="s">
        <v>751</v>
      </c>
      <c r="C129" t="s">
        <v>947</v>
      </c>
      <c r="M129" t="s">
        <v>743</v>
      </c>
      <c r="N129" t="s">
        <v>752</v>
      </c>
      <c r="O129" t="s">
        <v>745</v>
      </c>
      <c r="P129" t="s">
        <v>753</v>
      </c>
      <c r="S129" t="s">
        <v>749</v>
      </c>
      <c r="T129" t="s">
        <v>750</v>
      </c>
      <c r="U129" t="s">
        <v>17</v>
      </c>
    </row>
    <row r="130" spans="1:21" x14ac:dyDescent="0.25">
      <c r="A130" t="s">
        <v>754</v>
      </c>
      <c r="I130" t="s">
        <v>1023</v>
      </c>
      <c r="J130" t="s">
        <v>968</v>
      </c>
      <c r="M130" t="s">
        <v>755</v>
      </c>
      <c r="N130" t="s">
        <v>756</v>
      </c>
      <c r="O130" t="s">
        <v>489</v>
      </c>
      <c r="P130" t="s">
        <v>757</v>
      </c>
      <c r="S130" t="s">
        <v>758</v>
      </c>
      <c r="T130" t="s">
        <v>759</v>
      </c>
      <c r="U130" t="s">
        <v>17</v>
      </c>
    </row>
    <row r="131" spans="1:21" x14ac:dyDescent="0.25">
      <c r="A131" t="s">
        <v>760</v>
      </c>
      <c r="E131" t="s">
        <v>961</v>
      </c>
      <c r="L131" t="s">
        <v>990</v>
      </c>
      <c r="M131" t="s">
        <v>761</v>
      </c>
      <c r="N131" t="s">
        <v>761</v>
      </c>
      <c r="O131" t="s">
        <v>762</v>
      </c>
      <c r="P131" t="s">
        <v>418</v>
      </c>
      <c r="S131" t="s">
        <v>763</v>
      </c>
      <c r="T131" t="s">
        <v>764</v>
      </c>
      <c r="U131" t="s">
        <v>17</v>
      </c>
    </row>
    <row r="132" spans="1:21" x14ac:dyDescent="0.25">
      <c r="A132" t="s">
        <v>765</v>
      </c>
      <c r="I132" t="s">
        <v>1023</v>
      </c>
      <c r="M132" t="s">
        <v>136</v>
      </c>
      <c r="N132" t="s">
        <v>766</v>
      </c>
      <c r="O132" t="s">
        <v>235</v>
      </c>
      <c r="P132" t="s">
        <v>767</v>
      </c>
      <c r="S132" t="s">
        <v>768</v>
      </c>
      <c r="T132" t="s">
        <v>769</v>
      </c>
      <c r="U132" t="s">
        <v>17</v>
      </c>
    </row>
    <row r="133" spans="1:21" x14ac:dyDescent="0.25">
      <c r="A133" t="s">
        <v>770</v>
      </c>
      <c r="C133" t="s">
        <v>947</v>
      </c>
      <c r="D133" t="s">
        <v>945</v>
      </c>
      <c r="M133" t="s">
        <v>771</v>
      </c>
      <c r="N133" t="s">
        <v>772</v>
      </c>
      <c r="O133" t="s">
        <v>45</v>
      </c>
      <c r="P133" t="s">
        <v>773</v>
      </c>
      <c r="Q133" t="s">
        <v>774</v>
      </c>
      <c r="S133" t="s">
        <v>47</v>
      </c>
      <c r="T133" t="s">
        <v>48</v>
      </c>
      <c r="U133" t="s">
        <v>17</v>
      </c>
    </row>
    <row r="134" spans="1:21" x14ac:dyDescent="0.25">
      <c r="A134" t="s">
        <v>775</v>
      </c>
      <c r="I134" t="s">
        <v>1023</v>
      </c>
      <c r="M134" t="s">
        <v>776</v>
      </c>
      <c r="N134" t="s">
        <v>777</v>
      </c>
      <c r="O134" t="s">
        <v>229</v>
      </c>
      <c r="P134" t="s">
        <v>777</v>
      </c>
      <c r="S134" t="s">
        <v>778</v>
      </c>
      <c r="T134" t="s">
        <v>779</v>
      </c>
      <c r="U134" t="s">
        <v>17</v>
      </c>
    </row>
    <row r="135" spans="1:21" x14ac:dyDescent="0.25">
      <c r="A135" t="s">
        <v>780</v>
      </c>
      <c r="I135" t="s">
        <v>1023</v>
      </c>
      <c r="M135" t="s">
        <v>781</v>
      </c>
      <c r="N135" t="s">
        <v>782</v>
      </c>
      <c r="O135" t="s">
        <v>229</v>
      </c>
      <c r="P135" t="s">
        <v>782</v>
      </c>
      <c r="S135" t="s">
        <v>783</v>
      </c>
      <c r="T135" t="s">
        <v>784</v>
      </c>
      <c r="U135" t="s">
        <v>17</v>
      </c>
    </row>
    <row r="136" spans="1:21" x14ac:dyDescent="0.25">
      <c r="A136" t="s">
        <v>785</v>
      </c>
      <c r="I136" t="s">
        <v>1023</v>
      </c>
      <c r="M136" t="s">
        <v>786</v>
      </c>
      <c r="N136" t="s">
        <v>787</v>
      </c>
      <c r="O136" t="s">
        <v>271</v>
      </c>
      <c r="P136" t="s">
        <v>788</v>
      </c>
      <c r="S136" t="s">
        <v>789</v>
      </c>
      <c r="T136" t="s">
        <v>790</v>
      </c>
      <c r="U136" t="s">
        <v>17</v>
      </c>
    </row>
    <row r="137" spans="1:21" x14ac:dyDescent="0.25">
      <c r="A137" t="s">
        <v>791</v>
      </c>
      <c r="E137" t="s">
        <v>961</v>
      </c>
      <c r="M137" t="s">
        <v>792</v>
      </c>
      <c r="N137" t="s">
        <v>793</v>
      </c>
      <c r="O137" t="s">
        <v>73</v>
      </c>
      <c r="P137" t="s">
        <v>492</v>
      </c>
      <c r="Q137" t="s">
        <v>794</v>
      </c>
      <c r="S137" t="s">
        <v>795</v>
      </c>
      <c r="T137" t="s">
        <v>796</v>
      </c>
      <c r="U137" t="s">
        <v>17</v>
      </c>
    </row>
    <row r="138" spans="1:21" x14ac:dyDescent="0.25">
      <c r="A138" t="s">
        <v>797</v>
      </c>
      <c r="E138" t="s">
        <v>961</v>
      </c>
      <c r="M138" t="s">
        <v>27</v>
      </c>
      <c r="N138" t="s">
        <v>798</v>
      </c>
      <c r="O138" t="s">
        <v>60</v>
      </c>
      <c r="P138" t="s">
        <v>799</v>
      </c>
      <c r="Q138" t="s">
        <v>800</v>
      </c>
      <c r="S138" t="s">
        <v>801</v>
      </c>
      <c r="T138" t="s">
        <v>802</v>
      </c>
      <c r="U138" t="s">
        <v>17</v>
      </c>
    </row>
    <row r="139" spans="1:21" x14ac:dyDescent="0.25">
      <c r="A139" t="s">
        <v>803</v>
      </c>
      <c r="L139" t="s">
        <v>990</v>
      </c>
      <c r="M139" t="s">
        <v>205</v>
      </c>
      <c r="N139" t="s">
        <v>206</v>
      </c>
      <c r="O139" t="s">
        <v>207</v>
      </c>
      <c r="P139" t="s">
        <v>804</v>
      </c>
      <c r="S139" t="s">
        <v>209</v>
      </c>
      <c r="T139" t="s">
        <v>210</v>
      </c>
      <c r="U139" t="s">
        <v>17</v>
      </c>
    </row>
    <row r="140" spans="1:21" x14ac:dyDescent="0.25">
      <c r="A140" t="s">
        <v>805</v>
      </c>
      <c r="L140" t="s">
        <v>990</v>
      </c>
      <c r="M140" t="s">
        <v>205</v>
      </c>
      <c r="N140" t="s">
        <v>206</v>
      </c>
      <c r="O140" t="s">
        <v>207</v>
      </c>
      <c r="P140" t="s">
        <v>806</v>
      </c>
      <c r="S140" t="s">
        <v>209</v>
      </c>
      <c r="T140" t="s">
        <v>210</v>
      </c>
      <c r="U140" t="s">
        <v>17</v>
      </c>
    </row>
    <row r="141" spans="1:21" x14ac:dyDescent="0.25">
      <c r="A141" t="s">
        <v>807</v>
      </c>
      <c r="G141" t="s">
        <v>954</v>
      </c>
      <c r="I141" t="s">
        <v>1023</v>
      </c>
      <c r="J141" t="s">
        <v>968</v>
      </c>
      <c r="K141" t="s">
        <v>976</v>
      </c>
      <c r="M141" t="s">
        <v>212</v>
      </c>
      <c r="N141" t="s">
        <v>808</v>
      </c>
      <c r="O141" t="s">
        <v>60</v>
      </c>
      <c r="P141" t="s">
        <v>809</v>
      </c>
      <c r="Q141" t="s">
        <v>810</v>
      </c>
      <c r="R141" t="s">
        <v>811</v>
      </c>
      <c r="S141" t="s">
        <v>812</v>
      </c>
      <c r="T141" t="s">
        <v>813</v>
      </c>
      <c r="U141" t="s">
        <v>17</v>
      </c>
    </row>
    <row r="142" spans="1:21" x14ac:dyDescent="0.25">
      <c r="A142" t="s">
        <v>814</v>
      </c>
      <c r="E142" t="s">
        <v>961</v>
      </c>
      <c r="M142" t="s">
        <v>634</v>
      </c>
      <c r="N142" t="s">
        <v>815</v>
      </c>
      <c r="O142" t="s">
        <v>635</v>
      </c>
      <c r="P142" t="s">
        <v>816</v>
      </c>
      <c r="Q142" t="s">
        <v>817</v>
      </c>
      <c r="S142" t="s">
        <v>637</v>
      </c>
      <c r="T142" t="s">
        <v>638</v>
      </c>
      <c r="U142" t="s">
        <v>17</v>
      </c>
    </row>
    <row r="143" spans="1:21" x14ac:dyDescent="0.25">
      <c r="A143" t="s">
        <v>818</v>
      </c>
      <c r="H143" t="s">
        <v>978</v>
      </c>
      <c r="M143" t="s">
        <v>819</v>
      </c>
      <c r="N143" t="s">
        <v>820</v>
      </c>
      <c r="O143" t="s">
        <v>821</v>
      </c>
      <c r="P143" t="s">
        <v>822</v>
      </c>
      <c r="Q143" t="s">
        <v>823</v>
      </c>
      <c r="S143" t="s">
        <v>824</v>
      </c>
      <c r="T143" t="s">
        <v>825</v>
      </c>
      <c r="U143" t="s">
        <v>17</v>
      </c>
    </row>
    <row r="144" spans="1:21" x14ac:dyDescent="0.25">
      <c r="A144" t="s">
        <v>826</v>
      </c>
      <c r="C144" t="s">
        <v>947</v>
      </c>
      <c r="M144" t="s">
        <v>634</v>
      </c>
      <c r="N144" t="s">
        <v>153</v>
      </c>
      <c r="O144" t="s">
        <v>635</v>
      </c>
      <c r="P144" t="s">
        <v>636</v>
      </c>
      <c r="S144" t="s">
        <v>637</v>
      </c>
      <c r="T144" t="s">
        <v>638</v>
      </c>
      <c r="U144" t="s">
        <v>17</v>
      </c>
    </row>
    <row r="145" spans="1:21" x14ac:dyDescent="0.25">
      <c r="A145" t="s">
        <v>827</v>
      </c>
      <c r="E145" t="s">
        <v>961</v>
      </c>
      <c r="G145" t="s">
        <v>954</v>
      </c>
      <c r="M145" t="s">
        <v>700</v>
      </c>
      <c r="N145" t="s">
        <v>701</v>
      </c>
      <c r="O145" t="s">
        <v>702</v>
      </c>
      <c r="P145" t="s">
        <v>704</v>
      </c>
      <c r="Q145" t="s">
        <v>828</v>
      </c>
      <c r="S145" t="s">
        <v>705</v>
      </c>
      <c r="T145" t="s">
        <v>706</v>
      </c>
      <c r="U145" t="s">
        <v>17</v>
      </c>
    </row>
    <row r="146" spans="1:21" x14ac:dyDescent="0.25">
      <c r="A146" t="s">
        <v>829</v>
      </c>
      <c r="I146" t="s">
        <v>1023</v>
      </c>
      <c r="M146" t="s">
        <v>136</v>
      </c>
      <c r="N146" t="s">
        <v>830</v>
      </c>
      <c r="O146" t="s">
        <v>831</v>
      </c>
      <c r="P146" t="s">
        <v>832</v>
      </c>
      <c r="S146" t="s">
        <v>833</v>
      </c>
      <c r="T146" t="s">
        <v>834</v>
      </c>
      <c r="U146" t="s">
        <v>17</v>
      </c>
    </row>
    <row r="147" spans="1:21" x14ac:dyDescent="0.25">
      <c r="A147" t="s">
        <v>835</v>
      </c>
      <c r="B147" t="s">
        <v>1022</v>
      </c>
      <c r="M147" t="s">
        <v>836</v>
      </c>
      <c r="N147" t="s">
        <v>837</v>
      </c>
      <c r="O147" t="s">
        <v>838</v>
      </c>
      <c r="P147" t="s">
        <v>839</v>
      </c>
      <c r="Q147" t="s">
        <v>840</v>
      </c>
      <c r="R147" t="s">
        <v>841</v>
      </c>
      <c r="S147" t="s">
        <v>842</v>
      </c>
      <c r="T147" t="s">
        <v>843</v>
      </c>
      <c r="U147" t="s">
        <v>17</v>
      </c>
    </row>
    <row r="148" spans="1:21" x14ac:dyDescent="0.25">
      <c r="A148" t="s">
        <v>844</v>
      </c>
      <c r="C148" t="s">
        <v>947</v>
      </c>
      <c r="D148" t="s">
        <v>945</v>
      </c>
      <c r="M148" t="s">
        <v>505</v>
      </c>
      <c r="N148" t="s">
        <v>845</v>
      </c>
      <c r="O148" t="s">
        <v>507</v>
      </c>
      <c r="P148" t="s">
        <v>846</v>
      </c>
      <c r="Q148" t="s">
        <v>847</v>
      </c>
      <c r="S148" t="s">
        <v>510</v>
      </c>
      <c r="T148" t="s">
        <v>511</v>
      </c>
      <c r="U148" t="s">
        <v>17</v>
      </c>
    </row>
    <row r="149" spans="1:21" x14ac:dyDescent="0.25">
      <c r="A149" t="s">
        <v>848</v>
      </c>
      <c r="I149" t="s">
        <v>1023</v>
      </c>
      <c r="M149" t="s">
        <v>849</v>
      </c>
      <c r="N149" t="s">
        <v>850</v>
      </c>
      <c r="O149" t="s">
        <v>851</v>
      </c>
      <c r="P149" t="s">
        <v>852</v>
      </c>
      <c r="S149" t="s">
        <v>853</v>
      </c>
      <c r="T149" t="s">
        <v>854</v>
      </c>
      <c r="U149" t="s">
        <v>17</v>
      </c>
    </row>
    <row r="150" spans="1:21" x14ac:dyDescent="0.25">
      <c r="A150" t="s">
        <v>855</v>
      </c>
      <c r="I150" t="s">
        <v>1023</v>
      </c>
      <c r="M150" t="s">
        <v>849</v>
      </c>
      <c r="N150" t="s">
        <v>856</v>
      </c>
      <c r="O150" t="s">
        <v>851</v>
      </c>
      <c r="P150" t="s">
        <v>857</v>
      </c>
      <c r="Q150" t="s">
        <v>858</v>
      </c>
      <c r="R150" t="s">
        <v>859</v>
      </c>
      <c r="S150" t="s">
        <v>853</v>
      </c>
      <c r="T150" t="s">
        <v>854</v>
      </c>
      <c r="U150" t="s">
        <v>17</v>
      </c>
    </row>
    <row r="151" spans="1:21" x14ac:dyDescent="0.25">
      <c r="A151" t="s">
        <v>860</v>
      </c>
      <c r="B151" t="s">
        <v>1022</v>
      </c>
      <c r="M151" t="s">
        <v>861</v>
      </c>
      <c r="N151" t="s">
        <v>621</v>
      </c>
      <c r="O151" t="s">
        <v>851</v>
      </c>
      <c r="P151" t="s">
        <v>862</v>
      </c>
      <c r="Q151" t="s">
        <v>858</v>
      </c>
      <c r="R151" t="s">
        <v>859</v>
      </c>
      <c r="S151" t="s">
        <v>853</v>
      </c>
      <c r="T151" t="s">
        <v>854</v>
      </c>
      <c r="U151" t="s">
        <v>17</v>
      </c>
    </row>
    <row r="152" spans="1:21" x14ac:dyDescent="0.25">
      <c r="A152" t="s">
        <v>863</v>
      </c>
      <c r="K152" t="s">
        <v>976</v>
      </c>
      <c r="M152" t="s">
        <v>849</v>
      </c>
      <c r="N152" t="s">
        <v>864</v>
      </c>
      <c r="O152" t="s">
        <v>851</v>
      </c>
      <c r="P152" t="s">
        <v>865</v>
      </c>
      <c r="Q152" t="s">
        <v>866</v>
      </c>
      <c r="R152" t="s">
        <v>867</v>
      </c>
      <c r="S152" t="s">
        <v>853</v>
      </c>
      <c r="T152" t="s">
        <v>854</v>
      </c>
      <c r="U152" t="s">
        <v>17</v>
      </c>
    </row>
    <row r="153" spans="1:21" x14ac:dyDescent="0.25">
      <c r="A153" t="s">
        <v>868</v>
      </c>
      <c r="B153" t="s">
        <v>1022</v>
      </c>
      <c r="M153" t="s">
        <v>849</v>
      </c>
      <c r="N153" t="s">
        <v>864</v>
      </c>
      <c r="O153" t="s">
        <v>851</v>
      </c>
      <c r="P153" t="s">
        <v>866</v>
      </c>
      <c r="Q153" t="s">
        <v>865</v>
      </c>
      <c r="R153" t="s">
        <v>867</v>
      </c>
      <c r="S153" t="s">
        <v>853</v>
      </c>
      <c r="T153" t="s">
        <v>854</v>
      </c>
      <c r="U153" t="s">
        <v>17</v>
      </c>
    </row>
    <row r="154" spans="1:21" x14ac:dyDescent="0.25">
      <c r="A154" t="s">
        <v>869</v>
      </c>
      <c r="L154" t="s">
        <v>990</v>
      </c>
      <c r="M154" t="s">
        <v>205</v>
      </c>
      <c r="N154" t="s">
        <v>206</v>
      </c>
      <c r="O154" t="s">
        <v>207</v>
      </c>
      <c r="P154" t="s">
        <v>870</v>
      </c>
      <c r="S154" t="s">
        <v>209</v>
      </c>
      <c r="T154" t="s">
        <v>210</v>
      </c>
      <c r="U154" t="s">
        <v>17</v>
      </c>
    </row>
    <row r="155" spans="1:21" x14ac:dyDescent="0.25">
      <c r="A155" t="s">
        <v>871</v>
      </c>
      <c r="L155" t="s">
        <v>990</v>
      </c>
      <c r="M155" t="s">
        <v>205</v>
      </c>
      <c r="N155" t="s">
        <v>206</v>
      </c>
      <c r="O155" t="s">
        <v>207</v>
      </c>
      <c r="P155" t="s">
        <v>872</v>
      </c>
      <c r="S155" t="s">
        <v>209</v>
      </c>
      <c r="T155" t="s">
        <v>210</v>
      </c>
      <c r="U155" t="s">
        <v>17</v>
      </c>
    </row>
    <row r="156" spans="1:21" x14ac:dyDescent="0.25">
      <c r="A156" t="s">
        <v>873</v>
      </c>
      <c r="B156" t="s">
        <v>1022</v>
      </c>
      <c r="M156" t="s">
        <v>874</v>
      </c>
      <c r="N156" t="s">
        <v>875</v>
      </c>
      <c r="O156" t="s">
        <v>876</v>
      </c>
      <c r="P156" t="s">
        <v>877</v>
      </c>
      <c r="Q156" t="s">
        <v>878</v>
      </c>
      <c r="R156" t="s">
        <v>879</v>
      </c>
      <c r="S156" t="s">
        <v>412</v>
      </c>
      <c r="T156" t="s">
        <v>413</v>
      </c>
      <c r="U156" t="s">
        <v>17</v>
      </c>
    </row>
    <row r="157" spans="1:21" x14ac:dyDescent="0.25">
      <c r="A157" t="s">
        <v>880</v>
      </c>
      <c r="I157" t="s">
        <v>1023</v>
      </c>
      <c r="M157" t="s">
        <v>881</v>
      </c>
      <c r="N157" t="s">
        <v>481</v>
      </c>
      <c r="O157" t="s">
        <v>482</v>
      </c>
      <c r="P157" t="s">
        <v>483</v>
      </c>
      <c r="S157" t="s">
        <v>412</v>
      </c>
      <c r="T157" t="s">
        <v>413</v>
      </c>
      <c r="U157" t="s">
        <v>17</v>
      </c>
    </row>
    <row r="158" spans="1:21" x14ac:dyDescent="0.25">
      <c r="A158" t="s">
        <v>882</v>
      </c>
      <c r="E158" t="s">
        <v>961</v>
      </c>
      <c r="F158" t="s">
        <v>955</v>
      </c>
      <c r="M158" t="s">
        <v>883</v>
      </c>
      <c r="N158" t="s">
        <v>884</v>
      </c>
      <c r="O158" t="s">
        <v>498</v>
      </c>
      <c r="P158" t="s">
        <v>885</v>
      </c>
      <c r="Q158" t="s">
        <v>886</v>
      </c>
      <c r="S158" t="s">
        <v>887</v>
      </c>
      <c r="T158" t="s">
        <v>888</v>
      </c>
      <c r="U158" t="s">
        <v>17</v>
      </c>
    </row>
    <row r="159" spans="1:21" x14ac:dyDescent="0.25">
      <c r="A159" t="s">
        <v>889</v>
      </c>
      <c r="C159" t="s">
        <v>947</v>
      </c>
      <c r="D159" t="s">
        <v>945</v>
      </c>
      <c r="M159" t="s">
        <v>505</v>
      </c>
      <c r="N159" t="s">
        <v>890</v>
      </c>
      <c r="O159" t="s">
        <v>507</v>
      </c>
      <c r="P159" t="s">
        <v>891</v>
      </c>
      <c r="Q159" t="s">
        <v>892</v>
      </c>
      <c r="S159" t="s">
        <v>510</v>
      </c>
      <c r="T159" t="s">
        <v>511</v>
      </c>
      <c r="U159" t="s">
        <v>17</v>
      </c>
    </row>
    <row r="160" spans="1:21" x14ac:dyDescent="0.25">
      <c r="A160" t="s">
        <v>893</v>
      </c>
      <c r="C160" t="s">
        <v>947</v>
      </c>
      <c r="D160" t="s">
        <v>945</v>
      </c>
      <c r="M160" t="s">
        <v>505</v>
      </c>
      <c r="N160" t="s">
        <v>894</v>
      </c>
      <c r="O160" t="s">
        <v>507</v>
      </c>
      <c r="P160" t="s">
        <v>895</v>
      </c>
      <c r="Q160" t="s">
        <v>896</v>
      </c>
      <c r="R160" t="s">
        <v>897</v>
      </c>
      <c r="S160" t="s">
        <v>510</v>
      </c>
      <c r="T160" t="s">
        <v>511</v>
      </c>
      <c r="U160" t="s">
        <v>17</v>
      </c>
    </row>
    <row r="161" spans="1:21" x14ac:dyDescent="0.25">
      <c r="A161" t="s">
        <v>898</v>
      </c>
      <c r="I161" t="s">
        <v>1023</v>
      </c>
      <c r="M161" t="s">
        <v>899</v>
      </c>
      <c r="N161" t="s">
        <v>900</v>
      </c>
      <c r="O161" t="s">
        <v>271</v>
      </c>
      <c r="P161" t="s">
        <v>901</v>
      </c>
      <c r="S161" t="s">
        <v>902</v>
      </c>
      <c r="T161" t="s">
        <v>903</v>
      </c>
      <c r="U161" t="s">
        <v>17</v>
      </c>
    </row>
    <row r="162" spans="1:21" x14ac:dyDescent="0.25">
      <c r="A162" t="s">
        <v>904</v>
      </c>
      <c r="L162" t="s">
        <v>990</v>
      </c>
      <c r="M162" t="s">
        <v>731</v>
      </c>
      <c r="N162" t="s">
        <v>905</v>
      </c>
      <c r="O162" t="s">
        <v>906</v>
      </c>
      <c r="P162" t="s">
        <v>907</v>
      </c>
      <c r="S162" t="s">
        <v>908</v>
      </c>
      <c r="T162" t="s">
        <v>909</v>
      </c>
      <c r="U162" t="s">
        <v>17</v>
      </c>
    </row>
    <row r="163" spans="1:21" x14ac:dyDescent="0.25">
      <c r="A163" t="s">
        <v>910</v>
      </c>
      <c r="C163" t="s">
        <v>947</v>
      </c>
      <c r="D163" t="s">
        <v>945</v>
      </c>
      <c r="H163" t="s">
        <v>978</v>
      </c>
      <c r="M163" t="s">
        <v>911</v>
      </c>
      <c r="N163" t="s">
        <v>912</v>
      </c>
      <c r="O163" t="s">
        <v>913</v>
      </c>
      <c r="P163" t="s">
        <v>914</v>
      </c>
      <c r="S163" t="s">
        <v>915</v>
      </c>
      <c r="T163" t="s">
        <v>916</v>
      </c>
      <c r="U163" t="s">
        <v>17</v>
      </c>
    </row>
    <row r="164" spans="1:21" x14ac:dyDescent="0.25">
      <c r="A164" t="s">
        <v>917</v>
      </c>
      <c r="E164" t="s">
        <v>961</v>
      </c>
      <c r="F164" t="s">
        <v>955</v>
      </c>
      <c r="G164" t="s">
        <v>954</v>
      </c>
      <c r="M164" t="s">
        <v>27</v>
      </c>
      <c r="N164" t="s">
        <v>724</v>
      </c>
      <c r="O164" t="s">
        <v>73</v>
      </c>
      <c r="P164" t="s">
        <v>727</v>
      </c>
      <c r="Q164" t="s">
        <v>726</v>
      </c>
      <c r="R164" t="s">
        <v>725</v>
      </c>
      <c r="S164" t="s">
        <v>728</v>
      </c>
      <c r="T164" t="s">
        <v>729</v>
      </c>
      <c r="U164" t="s">
        <v>17</v>
      </c>
    </row>
    <row r="165" spans="1:21" x14ac:dyDescent="0.25">
      <c r="A165" t="s">
        <v>918</v>
      </c>
      <c r="C165" t="s">
        <v>947</v>
      </c>
      <c r="D165" t="s">
        <v>945</v>
      </c>
      <c r="M165" t="s">
        <v>919</v>
      </c>
      <c r="N165" t="s">
        <v>920</v>
      </c>
      <c r="O165" t="s">
        <v>921</v>
      </c>
      <c r="P165" t="s">
        <v>922</v>
      </c>
      <c r="Q165" t="s">
        <v>923</v>
      </c>
      <c r="S165" t="s">
        <v>156</v>
      </c>
      <c r="T165" t="s">
        <v>924</v>
      </c>
      <c r="U165" t="s">
        <v>17</v>
      </c>
    </row>
    <row r="166" spans="1:21" x14ac:dyDescent="0.25">
      <c r="A166" t="s">
        <v>925</v>
      </c>
      <c r="C166" t="s">
        <v>947</v>
      </c>
      <c r="D166" t="s">
        <v>945</v>
      </c>
      <c r="M166" t="s">
        <v>919</v>
      </c>
      <c r="N166" t="s">
        <v>926</v>
      </c>
      <c r="O166" t="s">
        <v>154</v>
      </c>
      <c r="P166" t="s">
        <v>927</v>
      </c>
      <c r="Q166" t="s">
        <v>928</v>
      </c>
      <c r="S166" t="s">
        <v>156</v>
      </c>
      <c r="T166" t="s">
        <v>924</v>
      </c>
      <c r="U166" t="s">
        <v>17</v>
      </c>
    </row>
    <row r="167" spans="1:21" x14ac:dyDescent="0.25">
      <c r="A167" t="s">
        <v>929</v>
      </c>
      <c r="I167" t="s">
        <v>1023</v>
      </c>
      <c r="M167" t="s">
        <v>930</v>
      </c>
      <c r="N167" t="s">
        <v>931</v>
      </c>
      <c r="O167" t="s">
        <v>932</v>
      </c>
      <c r="P167" t="s">
        <v>933</v>
      </c>
      <c r="S167" t="s">
        <v>934</v>
      </c>
      <c r="T167" t="s">
        <v>935</v>
      </c>
      <c r="U167" t="s">
        <v>17</v>
      </c>
    </row>
  </sheetData>
  <autoFilter ref="A1:U167" xr:uid="{8CFA35E0-FD0B-4DD7-9D92-E69E24B9D696}"/>
  <pageMargins left="0.75" right="0.75" top="1" bottom="1" header="0.5" footer="0.5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B13D6-0EBE-45CD-8E13-91647AD4092B}">
  <dimension ref="A1:J21"/>
  <sheetViews>
    <sheetView workbookViewId="0">
      <selection activeCell="C24" sqref="C24"/>
    </sheetView>
  </sheetViews>
  <sheetFormatPr defaultRowHeight="15" x14ac:dyDescent="0.25"/>
  <cols>
    <col min="2" max="2" width="16.28515625" bestFit="1" customWidth="1"/>
    <col min="3" max="3" width="37.7109375" customWidth="1"/>
    <col min="4" max="4" width="32.85546875" customWidth="1"/>
    <col min="5" max="5" width="33.140625" bestFit="1" customWidth="1"/>
    <col min="6" max="6" width="32.42578125" bestFit="1" customWidth="1"/>
    <col min="7" max="7" width="31.85546875" customWidth="1"/>
    <col min="8" max="8" width="32.140625" customWidth="1"/>
    <col min="9" max="9" width="16.5703125" customWidth="1"/>
    <col min="10" max="10" width="30" bestFit="1" customWidth="1"/>
  </cols>
  <sheetData>
    <row r="1" spans="1:10" ht="21.75" thickBot="1" x14ac:dyDescent="0.4">
      <c r="A1" s="22" t="s">
        <v>26</v>
      </c>
      <c r="B1" s="23"/>
      <c r="C1" s="23"/>
      <c r="D1" s="23"/>
      <c r="E1" s="23"/>
      <c r="F1" s="23"/>
      <c r="G1" s="23"/>
      <c r="H1" s="23"/>
      <c r="I1" s="23"/>
      <c r="J1" s="24"/>
    </row>
    <row r="2" spans="1:10" ht="30" x14ac:dyDescent="0.25">
      <c r="A2" s="2" t="s">
        <v>937</v>
      </c>
      <c r="B2" s="3" t="s">
        <v>938</v>
      </c>
      <c r="C2" s="4" t="s">
        <v>939</v>
      </c>
      <c r="D2" s="4" t="s">
        <v>2</v>
      </c>
      <c r="E2" s="4" t="s">
        <v>940</v>
      </c>
      <c r="F2" s="4" t="s">
        <v>942</v>
      </c>
      <c r="G2" s="4" t="s">
        <v>943</v>
      </c>
      <c r="H2" s="4" t="s">
        <v>944</v>
      </c>
      <c r="I2" s="5" t="s">
        <v>941</v>
      </c>
      <c r="J2" s="6" t="s">
        <v>8</v>
      </c>
    </row>
    <row r="3" spans="1:10" x14ac:dyDescent="0.25">
      <c r="A3" s="7">
        <v>1</v>
      </c>
      <c r="B3" s="8"/>
      <c r="C3" s="8" t="s">
        <v>27</v>
      </c>
      <c r="D3" s="8" t="s">
        <v>28</v>
      </c>
      <c r="E3" s="8" t="s">
        <v>29</v>
      </c>
      <c r="F3" s="8" t="s">
        <v>30</v>
      </c>
      <c r="G3" s="8" t="s">
        <v>31</v>
      </c>
      <c r="H3" s="8" t="s">
        <v>32</v>
      </c>
      <c r="I3" s="8">
        <v>3</v>
      </c>
      <c r="J3" s="9" t="s">
        <v>34</v>
      </c>
    </row>
    <row r="4" spans="1:10" x14ac:dyDescent="0.25">
      <c r="A4" s="7">
        <v>2</v>
      </c>
      <c r="B4" s="8"/>
      <c r="C4" s="8" t="s">
        <v>27</v>
      </c>
      <c r="D4" s="8" t="s">
        <v>59</v>
      </c>
      <c r="E4" s="8" t="s">
        <v>60</v>
      </c>
      <c r="F4" s="8" t="s">
        <v>61</v>
      </c>
      <c r="G4" s="8" t="s">
        <v>62</v>
      </c>
      <c r="H4" s="8" t="s">
        <v>63</v>
      </c>
      <c r="I4" s="8">
        <v>3</v>
      </c>
      <c r="J4" s="9" t="s">
        <v>34</v>
      </c>
    </row>
    <row r="5" spans="1:10" x14ac:dyDescent="0.25">
      <c r="A5" s="7">
        <v>3</v>
      </c>
      <c r="B5" s="8"/>
      <c r="C5" s="8" t="s">
        <v>27</v>
      </c>
      <c r="D5" s="8" t="s">
        <v>83</v>
      </c>
      <c r="E5" s="8" t="s">
        <v>73</v>
      </c>
      <c r="F5" s="8" t="s">
        <v>84</v>
      </c>
      <c r="G5" s="8" t="s">
        <v>85</v>
      </c>
      <c r="H5" s="8" t="s">
        <v>86</v>
      </c>
      <c r="I5" s="8">
        <v>3</v>
      </c>
      <c r="J5" s="9" t="s">
        <v>76</v>
      </c>
    </row>
    <row r="6" spans="1:10" x14ac:dyDescent="0.25">
      <c r="A6" s="7">
        <v>4</v>
      </c>
      <c r="B6" s="8"/>
      <c r="C6" s="8" t="s">
        <v>88</v>
      </c>
      <c r="D6" s="8" t="s">
        <v>89</v>
      </c>
      <c r="E6" s="8" t="s">
        <v>90</v>
      </c>
      <c r="F6" s="8" t="s">
        <v>91</v>
      </c>
      <c r="G6" s="8" t="s">
        <v>92</v>
      </c>
      <c r="H6" s="8" t="s">
        <v>93</v>
      </c>
      <c r="I6" s="8">
        <v>3</v>
      </c>
      <c r="J6" s="9" t="s">
        <v>95</v>
      </c>
    </row>
    <row r="7" spans="1:10" x14ac:dyDescent="0.25">
      <c r="A7" s="7">
        <v>5</v>
      </c>
      <c r="B7" s="8"/>
      <c r="C7" s="8" t="s">
        <v>27</v>
      </c>
      <c r="D7" s="8" t="s">
        <v>97</v>
      </c>
      <c r="E7" s="8" t="s">
        <v>73</v>
      </c>
      <c r="F7" s="8" t="s">
        <v>98</v>
      </c>
      <c r="G7" s="8" t="s">
        <v>99</v>
      </c>
      <c r="H7" s="8" t="s">
        <v>100</v>
      </c>
      <c r="I7" s="8">
        <v>3</v>
      </c>
      <c r="J7" s="9" t="s">
        <v>76</v>
      </c>
    </row>
    <row r="8" spans="1:10" x14ac:dyDescent="0.25">
      <c r="A8" s="7">
        <v>6</v>
      </c>
      <c r="B8" s="8"/>
      <c r="C8" s="8" t="s">
        <v>27</v>
      </c>
      <c r="D8" s="8" t="s">
        <v>102</v>
      </c>
      <c r="E8" s="8" t="s">
        <v>73</v>
      </c>
      <c r="F8" s="8" t="s">
        <v>103</v>
      </c>
      <c r="G8" s="8" t="s">
        <v>104</v>
      </c>
      <c r="H8" s="8" t="s">
        <v>105</v>
      </c>
      <c r="I8" s="8">
        <v>3</v>
      </c>
      <c r="J8" s="9" t="s">
        <v>76</v>
      </c>
    </row>
    <row r="9" spans="1:10" x14ac:dyDescent="0.25">
      <c r="A9" s="7">
        <v>7</v>
      </c>
      <c r="B9" s="8"/>
      <c r="C9" s="8" t="s">
        <v>27</v>
      </c>
      <c r="D9" s="8" t="s">
        <v>107</v>
      </c>
      <c r="E9" s="8" t="s">
        <v>60</v>
      </c>
      <c r="F9" s="8" t="s">
        <v>108</v>
      </c>
      <c r="G9" s="8" t="s">
        <v>109</v>
      </c>
      <c r="H9" s="8" t="s">
        <v>110</v>
      </c>
      <c r="I9" s="8">
        <v>3</v>
      </c>
      <c r="J9" s="9" t="s">
        <v>34</v>
      </c>
    </row>
    <row r="10" spans="1:10" x14ac:dyDescent="0.25">
      <c r="A10" s="7">
        <v>8</v>
      </c>
      <c r="B10" s="8"/>
      <c r="C10" s="8" t="s">
        <v>247</v>
      </c>
      <c r="D10" s="8" t="s">
        <v>248</v>
      </c>
      <c r="E10" s="8" t="s">
        <v>45</v>
      </c>
      <c r="F10" s="8" t="s">
        <v>249</v>
      </c>
      <c r="G10" s="8" t="s">
        <v>250</v>
      </c>
      <c r="H10" s="8" t="s">
        <v>251</v>
      </c>
      <c r="I10" s="8">
        <v>3</v>
      </c>
      <c r="J10" s="9" t="s">
        <v>48</v>
      </c>
    </row>
    <row r="11" spans="1:10" x14ac:dyDescent="0.25">
      <c r="A11" s="7">
        <v>9</v>
      </c>
      <c r="B11" s="8"/>
      <c r="C11" s="8" t="s">
        <v>406</v>
      </c>
      <c r="D11" s="8" t="s">
        <v>407</v>
      </c>
      <c r="E11" s="8" t="s">
        <v>408</v>
      </c>
      <c r="F11" s="8" t="s">
        <v>409</v>
      </c>
      <c r="G11" s="8" t="s">
        <v>410</v>
      </c>
      <c r="H11" s="8" t="s">
        <v>411</v>
      </c>
      <c r="I11" s="8">
        <v>3</v>
      </c>
      <c r="J11" s="9" t="s">
        <v>413</v>
      </c>
    </row>
    <row r="12" spans="1:10" x14ac:dyDescent="0.25">
      <c r="A12" s="7">
        <v>10</v>
      </c>
      <c r="B12" s="8" t="s">
        <v>957</v>
      </c>
      <c r="C12" s="8" t="s">
        <v>434</v>
      </c>
      <c r="D12" s="8" t="s">
        <v>435</v>
      </c>
      <c r="E12" s="8" t="s">
        <v>60</v>
      </c>
      <c r="F12" s="8" t="s">
        <v>436</v>
      </c>
      <c r="G12" s="8" t="s">
        <v>437</v>
      </c>
      <c r="H12" s="8"/>
      <c r="I12" s="8">
        <v>2</v>
      </c>
      <c r="J12" s="9" t="s">
        <v>439</v>
      </c>
    </row>
    <row r="13" spans="1:10" x14ac:dyDescent="0.25">
      <c r="A13" s="7">
        <v>11</v>
      </c>
      <c r="B13" s="8"/>
      <c r="C13" s="8" t="s">
        <v>415</v>
      </c>
      <c r="D13" s="8" t="s">
        <v>481</v>
      </c>
      <c r="E13" s="8" t="s">
        <v>482</v>
      </c>
      <c r="F13" s="8" t="s">
        <v>483</v>
      </c>
      <c r="G13" s="8" t="s">
        <v>484</v>
      </c>
      <c r="H13" s="8" t="s">
        <v>485</v>
      </c>
      <c r="I13" s="8">
        <v>3</v>
      </c>
      <c r="J13" s="9" t="s">
        <v>413</v>
      </c>
    </row>
    <row r="14" spans="1:10" x14ac:dyDescent="0.25">
      <c r="A14" s="7">
        <v>12</v>
      </c>
      <c r="B14" s="8"/>
      <c r="C14" s="8" t="s">
        <v>625</v>
      </c>
      <c r="D14" s="8" t="s">
        <v>626</v>
      </c>
      <c r="E14" s="8" t="s">
        <v>627</v>
      </c>
      <c r="F14" s="8" t="s">
        <v>628</v>
      </c>
      <c r="G14" s="8" t="s">
        <v>629</v>
      </c>
      <c r="H14" s="8" t="s">
        <v>630</v>
      </c>
      <c r="I14" s="8">
        <v>3</v>
      </c>
      <c r="J14" s="9" t="s">
        <v>632</v>
      </c>
    </row>
    <row r="15" spans="1:10" x14ac:dyDescent="0.25">
      <c r="A15" s="7">
        <v>13</v>
      </c>
      <c r="B15" s="8" t="s">
        <v>959</v>
      </c>
      <c r="C15" s="8" t="s">
        <v>27</v>
      </c>
      <c r="D15" s="8" t="s">
        <v>724</v>
      </c>
      <c r="E15" s="8" t="s">
        <v>73</v>
      </c>
      <c r="F15" s="8" t="s">
        <v>725</v>
      </c>
      <c r="G15" s="8" t="s">
        <v>726</v>
      </c>
      <c r="H15" s="8" t="s">
        <v>727</v>
      </c>
      <c r="I15" s="8">
        <v>3</v>
      </c>
      <c r="J15" s="9" t="s">
        <v>729</v>
      </c>
    </row>
    <row r="16" spans="1:10" x14ac:dyDescent="0.25">
      <c r="A16" s="7">
        <v>14</v>
      </c>
      <c r="B16" s="8"/>
      <c r="C16" s="8" t="s">
        <v>743</v>
      </c>
      <c r="D16" s="8" t="s">
        <v>744</v>
      </c>
      <c r="E16" s="8" t="s">
        <v>745</v>
      </c>
      <c r="F16" s="8" t="s">
        <v>746</v>
      </c>
      <c r="G16" s="8" t="s">
        <v>747</v>
      </c>
      <c r="H16" s="8" t="s">
        <v>748</v>
      </c>
      <c r="I16" s="8">
        <v>3</v>
      </c>
      <c r="J16" s="9" t="s">
        <v>750</v>
      </c>
    </row>
    <row r="17" spans="1:10" x14ac:dyDescent="0.25">
      <c r="A17" s="7">
        <v>15</v>
      </c>
      <c r="B17" s="8"/>
      <c r="C17" s="8" t="s">
        <v>836</v>
      </c>
      <c r="D17" s="8" t="s">
        <v>837</v>
      </c>
      <c r="E17" s="8" t="s">
        <v>838</v>
      </c>
      <c r="F17" s="8" t="s">
        <v>839</v>
      </c>
      <c r="G17" s="8" t="s">
        <v>840</v>
      </c>
      <c r="H17" s="8" t="s">
        <v>841</v>
      </c>
      <c r="I17" s="8">
        <v>3</v>
      </c>
      <c r="J17" s="9" t="s">
        <v>843</v>
      </c>
    </row>
    <row r="18" spans="1:10" x14ac:dyDescent="0.25">
      <c r="A18" s="7">
        <v>16</v>
      </c>
      <c r="B18" s="8"/>
      <c r="C18" s="8" t="s">
        <v>861</v>
      </c>
      <c r="D18" s="8" t="s">
        <v>621</v>
      </c>
      <c r="E18" s="8" t="s">
        <v>851</v>
      </c>
      <c r="F18" s="8" t="s">
        <v>862</v>
      </c>
      <c r="G18" s="8" t="s">
        <v>858</v>
      </c>
      <c r="H18" s="8" t="s">
        <v>859</v>
      </c>
      <c r="I18" s="8">
        <v>3</v>
      </c>
      <c r="J18" s="9" t="s">
        <v>854</v>
      </c>
    </row>
    <row r="19" spans="1:10" x14ac:dyDescent="0.25">
      <c r="A19" s="7">
        <v>17</v>
      </c>
      <c r="B19" s="8"/>
      <c r="C19" s="8" t="s">
        <v>849</v>
      </c>
      <c r="D19" s="8" t="s">
        <v>864</v>
      </c>
      <c r="E19" s="8" t="s">
        <v>851</v>
      </c>
      <c r="F19" s="8" t="s">
        <v>866</v>
      </c>
      <c r="G19" s="8" t="s">
        <v>865</v>
      </c>
      <c r="H19" s="8" t="s">
        <v>867</v>
      </c>
      <c r="I19" s="8">
        <v>3</v>
      </c>
      <c r="J19" s="9" t="s">
        <v>854</v>
      </c>
    </row>
    <row r="20" spans="1:10" ht="15.75" thickBot="1" x14ac:dyDescent="0.3">
      <c r="A20" s="10">
        <v>18</v>
      </c>
      <c r="B20" s="11"/>
      <c r="C20" s="11" t="s">
        <v>874</v>
      </c>
      <c r="D20" s="11" t="s">
        <v>875</v>
      </c>
      <c r="E20" s="11" t="s">
        <v>876</v>
      </c>
      <c r="F20" s="11" t="s">
        <v>877</v>
      </c>
      <c r="G20" s="11" t="s">
        <v>878</v>
      </c>
      <c r="H20" s="11" t="s">
        <v>879</v>
      </c>
      <c r="I20" s="11">
        <v>3</v>
      </c>
      <c r="J20" s="12" t="s">
        <v>413</v>
      </c>
    </row>
    <row r="21" spans="1:10" x14ac:dyDescent="0.25">
      <c r="I21">
        <f>SUM(I3:I20)</f>
        <v>53</v>
      </c>
    </row>
  </sheetData>
  <mergeCells count="1">
    <mergeCell ref="A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90EB4-8215-4A49-8264-EE5B6F57E024}">
  <sheetPr>
    <pageSetUpPr fitToPage="1"/>
  </sheetPr>
  <dimension ref="A1:J39"/>
  <sheetViews>
    <sheetView topLeftCell="A10" workbookViewId="0">
      <selection activeCell="C36" sqref="C36"/>
    </sheetView>
  </sheetViews>
  <sheetFormatPr defaultRowHeight="15" x14ac:dyDescent="0.25"/>
  <cols>
    <col min="1" max="1" width="7.140625" bestFit="1" customWidth="1"/>
    <col min="2" max="2" width="16" customWidth="1"/>
    <col min="3" max="3" width="39.85546875" customWidth="1"/>
    <col min="4" max="4" width="18.5703125" bestFit="1" customWidth="1"/>
    <col min="5" max="5" width="31.85546875" customWidth="1"/>
    <col min="6" max="6" width="35.7109375" bestFit="1" customWidth="1"/>
    <col min="7" max="7" width="35.85546875" bestFit="1" customWidth="1"/>
    <col min="8" max="8" width="32.140625" customWidth="1"/>
    <col min="9" max="9" width="8.85546875" customWidth="1"/>
    <col min="10" max="10" width="30" bestFit="1" customWidth="1"/>
  </cols>
  <sheetData>
    <row r="1" spans="1:10" ht="21.75" thickBot="1" x14ac:dyDescent="0.4">
      <c r="A1" s="22" t="s">
        <v>936</v>
      </c>
      <c r="B1" s="23"/>
      <c r="C1" s="23"/>
      <c r="D1" s="23"/>
      <c r="E1" s="23"/>
      <c r="F1" s="23"/>
      <c r="G1" s="23"/>
      <c r="H1" s="23"/>
      <c r="I1" s="23"/>
      <c r="J1" s="24"/>
    </row>
    <row r="2" spans="1:10" ht="45" x14ac:dyDescent="0.25">
      <c r="A2" s="2" t="s">
        <v>937</v>
      </c>
      <c r="B2" s="3" t="s">
        <v>938</v>
      </c>
      <c r="C2" s="4" t="s">
        <v>939</v>
      </c>
      <c r="D2" s="4" t="s">
        <v>2</v>
      </c>
      <c r="E2" s="4" t="s">
        <v>940</v>
      </c>
      <c r="F2" s="4" t="s">
        <v>942</v>
      </c>
      <c r="G2" s="4" t="s">
        <v>943</v>
      </c>
      <c r="H2" s="4" t="s">
        <v>944</v>
      </c>
      <c r="I2" s="16" t="s">
        <v>941</v>
      </c>
      <c r="J2" s="6" t="s">
        <v>8</v>
      </c>
    </row>
    <row r="3" spans="1:10" x14ac:dyDescent="0.25">
      <c r="A3" s="7">
        <v>1</v>
      </c>
      <c r="B3" s="8" t="s">
        <v>945</v>
      </c>
      <c r="C3" s="8" t="s">
        <v>43</v>
      </c>
      <c r="D3" s="8" t="s">
        <v>44</v>
      </c>
      <c r="E3" s="8" t="s">
        <v>45</v>
      </c>
      <c r="F3" s="8" t="s">
        <v>46</v>
      </c>
      <c r="G3" s="8"/>
      <c r="H3" s="8"/>
      <c r="I3" s="8">
        <f>COUNTA(F3:H3)</f>
        <v>1</v>
      </c>
      <c r="J3" s="9" t="s">
        <v>48</v>
      </c>
    </row>
    <row r="4" spans="1:10" x14ac:dyDescent="0.25">
      <c r="A4" s="7">
        <v>2</v>
      </c>
      <c r="B4" s="8" t="s">
        <v>945</v>
      </c>
      <c r="C4" s="8" t="s">
        <v>152</v>
      </c>
      <c r="D4" s="8" t="s">
        <v>153</v>
      </c>
      <c r="E4" s="8" t="s">
        <v>154</v>
      </c>
      <c r="F4" s="8" t="s">
        <v>155</v>
      </c>
      <c r="G4" s="8"/>
      <c r="H4" s="8"/>
      <c r="I4" s="8">
        <f>COUNTA(F4:H4)</f>
        <v>1</v>
      </c>
      <c r="J4" s="9" t="s">
        <v>157</v>
      </c>
    </row>
    <row r="5" spans="1:10" x14ac:dyDescent="0.25">
      <c r="A5" s="7">
        <v>3</v>
      </c>
      <c r="B5" s="8" t="s">
        <v>945</v>
      </c>
      <c r="C5" s="8" t="s">
        <v>159</v>
      </c>
      <c r="D5" s="8" t="s">
        <v>160</v>
      </c>
      <c r="E5" s="8" t="s">
        <v>90</v>
      </c>
      <c r="F5" s="8" t="s">
        <v>161</v>
      </c>
      <c r="G5" s="8" t="s">
        <v>162</v>
      </c>
      <c r="H5" s="8" t="s">
        <v>163</v>
      </c>
      <c r="I5" s="8">
        <f t="shared" ref="I5:I38" si="0">COUNTA(F5:H5)</f>
        <v>3</v>
      </c>
      <c r="J5" s="9" t="s">
        <v>95</v>
      </c>
    </row>
    <row r="6" spans="1:10" x14ac:dyDescent="0.25">
      <c r="A6" s="7">
        <v>4</v>
      </c>
      <c r="B6" s="8"/>
      <c r="C6" s="8" t="s">
        <v>288</v>
      </c>
      <c r="D6" s="8" t="s">
        <v>289</v>
      </c>
      <c r="E6" s="8" t="s">
        <v>45</v>
      </c>
      <c r="F6" s="8" t="s">
        <v>290</v>
      </c>
      <c r="G6" s="8" t="s">
        <v>291</v>
      </c>
      <c r="H6" s="8" t="s">
        <v>292</v>
      </c>
      <c r="I6" s="8">
        <f t="shared" si="0"/>
        <v>3</v>
      </c>
      <c r="J6" s="9" t="s">
        <v>48</v>
      </c>
    </row>
    <row r="7" spans="1:10" x14ac:dyDescent="0.25">
      <c r="A7" s="7">
        <v>5</v>
      </c>
      <c r="B7" s="8"/>
      <c r="C7" s="8" t="s">
        <v>288</v>
      </c>
      <c r="D7" s="8" t="s">
        <v>294</v>
      </c>
      <c r="E7" s="8" t="s">
        <v>45</v>
      </c>
      <c r="F7" s="8" t="s">
        <v>295</v>
      </c>
      <c r="G7" s="8" t="s">
        <v>296</v>
      </c>
      <c r="H7" s="8" t="s">
        <v>297</v>
      </c>
      <c r="I7" s="8">
        <f t="shared" si="0"/>
        <v>3</v>
      </c>
      <c r="J7" s="9" t="s">
        <v>48</v>
      </c>
    </row>
    <row r="8" spans="1:10" x14ac:dyDescent="0.25">
      <c r="A8" s="7">
        <v>6</v>
      </c>
      <c r="B8" s="8" t="s">
        <v>945</v>
      </c>
      <c r="C8" s="8" t="s">
        <v>374</v>
      </c>
      <c r="D8" s="8" t="s">
        <v>375</v>
      </c>
      <c r="E8" s="8" t="s">
        <v>376</v>
      </c>
      <c r="F8" s="8" t="s">
        <v>377</v>
      </c>
      <c r="G8" s="8" t="s">
        <v>378</v>
      </c>
      <c r="H8" s="8"/>
      <c r="I8" s="8">
        <f t="shared" si="0"/>
        <v>2</v>
      </c>
      <c r="J8" s="9" t="s">
        <v>380</v>
      </c>
    </row>
    <row r="9" spans="1:10" x14ac:dyDescent="0.25">
      <c r="A9" s="7">
        <v>7</v>
      </c>
      <c r="B9" s="8" t="s">
        <v>945</v>
      </c>
      <c r="C9" s="8" t="s">
        <v>374</v>
      </c>
      <c r="D9" s="8" t="s">
        <v>382</v>
      </c>
      <c r="E9" s="8" t="s">
        <v>376</v>
      </c>
      <c r="F9" s="8" t="s">
        <v>383</v>
      </c>
      <c r="G9" s="8" t="s">
        <v>384</v>
      </c>
      <c r="H9" s="8"/>
      <c r="I9" s="8">
        <f t="shared" si="0"/>
        <v>2</v>
      </c>
      <c r="J9" s="9" t="s">
        <v>380</v>
      </c>
    </row>
    <row r="10" spans="1:10" x14ac:dyDescent="0.25">
      <c r="A10" s="7">
        <v>8</v>
      </c>
      <c r="B10" s="8" t="s">
        <v>945</v>
      </c>
      <c r="C10" s="8" t="s">
        <v>374</v>
      </c>
      <c r="D10" s="8" t="s">
        <v>386</v>
      </c>
      <c r="E10" s="8" t="s">
        <v>376</v>
      </c>
      <c r="F10" s="8" t="s">
        <v>387</v>
      </c>
      <c r="G10" s="8" t="s">
        <v>388</v>
      </c>
      <c r="H10" s="8"/>
      <c r="I10" s="8">
        <f t="shared" si="0"/>
        <v>2</v>
      </c>
      <c r="J10" s="9" t="s">
        <v>380</v>
      </c>
    </row>
    <row r="11" spans="1:10" x14ac:dyDescent="0.25">
      <c r="A11" s="7">
        <v>9</v>
      </c>
      <c r="B11" s="8" t="s">
        <v>945</v>
      </c>
      <c r="C11" s="8" t="s">
        <v>374</v>
      </c>
      <c r="D11" s="8" t="s">
        <v>390</v>
      </c>
      <c r="E11" s="8" t="s">
        <v>376</v>
      </c>
      <c r="F11" s="8" t="s">
        <v>391</v>
      </c>
      <c r="G11" s="8" t="s">
        <v>392</v>
      </c>
      <c r="H11" s="8"/>
      <c r="I11" s="8">
        <f t="shared" si="0"/>
        <v>2</v>
      </c>
      <c r="J11" s="9" t="s">
        <v>380</v>
      </c>
    </row>
    <row r="12" spans="1:10" x14ac:dyDescent="0.25">
      <c r="A12" s="7">
        <v>10</v>
      </c>
      <c r="B12" s="8" t="s">
        <v>945</v>
      </c>
      <c r="C12" s="8" t="s">
        <v>374</v>
      </c>
      <c r="D12" s="8" t="s">
        <v>399</v>
      </c>
      <c r="E12" s="8" t="s">
        <v>376</v>
      </c>
      <c r="F12" s="8" t="s">
        <v>400</v>
      </c>
      <c r="G12" s="8"/>
      <c r="H12" s="8"/>
      <c r="I12" s="8">
        <f t="shared" si="0"/>
        <v>1</v>
      </c>
      <c r="J12" s="9" t="s">
        <v>380</v>
      </c>
    </row>
    <row r="13" spans="1:10" x14ac:dyDescent="0.25">
      <c r="A13" s="7">
        <v>11</v>
      </c>
      <c r="B13" s="8" t="s">
        <v>945</v>
      </c>
      <c r="C13" s="8" t="s">
        <v>374</v>
      </c>
      <c r="D13" s="8" t="s">
        <v>402</v>
      </c>
      <c r="E13" s="8" t="s">
        <v>376</v>
      </c>
      <c r="F13" s="8" t="s">
        <v>403</v>
      </c>
      <c r="G13" s="8" t="s">
        <v>404</v>
      </c>
      <c r="H13" s="8"/>
      <c r="I13" s="8">
        <f t="shared" si="0"/>
        <v>2</v>
      </c>
      <c r="J13" s="9" t="s">
        <v>380</v>
      </c>
    </row>
    <row r="14" spans="1:10" x14ac:dyDescent="0.25">
      <c r="A14" s="7">
        <v>12</v>
      </c>
      <c r="B14" s="8"/>
      <c r="C14" s="8" t="s">
        <v>441</v>
      </c>
      <c r="D14" s="8" t="s">
        <v>442</v>
      </c>
      <c r="E14" s="8" t="s">
        <v>443</v>
      </c>
      <c r="F14" s="8" t="s">
        <v>444</v>
      </c>
      <c r="G14" s="8"/>
      <c r="H14" s="8"/>
      <c r="I14" s="8">
        <f t="shared" si="0"/>
        <v>1</v>
      </c>
      <c r="J14" s="9" t="s">
        <v>446</v>
      </c>
    </row>
    <row r="15" spans="1:10" x14ac:dyDescent="0.25">
      <c r="A15" s="7">
        <v>13</v>
      </c>
      <c r="B15" s="8" t="s">
        <v>945</v>
      </c>
      <c r="C15" s="8" t="s">
        <v>505</v>
      </c>
      <c r="D15" s="8" t="s">
        <v>506</v>
      </c>
      <c r="E15" s="8" t="s">
        <v>507</v>
      </c>
      <c r="F15" s="8" t="s">
        <v>508</v>
      </c>
      <c r="G15" s="8" t="s">
        <v>509</v>
      </c>
      <c r="H15" s="8"/>
      <c r="I15" s="8">
        <f t="shared" si="0"/>
        <v>2</v>
      </c>
      <c r="J15" s="9" t="s">
        <v>511</v>
      </c>
    </row>
    <row r="16" spans="1:10" x14ac:dyDescent="0.25">
      <c r="A16" s="7">
        <v>14</v>
      </c>
      <c r="B16" s="8" t="s">
        <v>945</v>
      </c>
      <c r="C16" s="8" t="s">
        <v>505</v>
      </c>
      <c r="D16" s="8" t="s">
        <v>513</v>
      </c>
      <c r="E16" s="8" t="s">
        <v>507</v>
      </c>
      <c r="F16" s="8" t="s">
        <v>514</v>
      </c>
      <c r="G16" s="8" t="s">
        <v>515</v>
      </c>
      <c r="H16" s="8"/>
      <c r="I16" s="8">
        <f t="shared" si="0"/>
        <v>2</v>
      </c>
      <c r="J16" s="9" t="s">
        <v>511</v>
      </c>
    </row>
    <row r="17" spans="1:10" x14ac:dyDescent="0.25">
      <c r="A17" s="7">
        <v>15</v>
      </c>
      <c r="B17" s="8" t="s">
        <v>945</v>
      </c>
      <c r="C17" s="8" t="s">
        <v>565</v>
      </c>
      <c r="D17" s="8" t="s">
        <v>566</v>
      </c>
      <c r="E17" s="8" t="s">
        <v>567</v>
      </c>
      <c r="F17" s="8" t="s">
        <v>568</v>
      </c>
      <c r="G17" s="8" t="s">
        <v>569</v>
      </c>
      <c r="H17" s="8" t="s">
        <v>570</v>
      </c>
      <c r="I17" s="8">
        <f t="shared" si="0"/>
        <v>3</v>
      </c>
      <c r="J17" s="9" t="s">
        <v>572</v>
      </c>
    </row>
    <row r="18" spans="1:10" x14ac:dyDescent="0.25">
      <c r="A18" s="7">
        <v>16</v>
      </c>
      <c r="B18" s="8" t="s">
        <v>945</v>
      </c>
      <c r="C18" s="8" t="s">
        <v>565</v>
      </c>
      <c r="D18" s="8" t="s">
        <v>589</v>
      </c>
      <c r="E18" s="8" t="s">
        <v>567</v>
      </c>
      <c r="F18" s="8" t="s">
        <v>590</v>
      </c>
      <c r="G18" s="8" t="s">
        <v>591</v>
      </c>
      <c r="H18" s="8" t="s">
        <v>592</v>
      </c>
      <c r="I18" s="8">
        <f t="shared" si="0"/>
        <v>3</v>
      </c>
      <c r="J18" s="9" t="s">
        <v>572</v>
      </c>
    </row>
    <row r="19" spans="1:10" x14ac:dyDescent="0.25">
      <c r="A19" s="7">
        <v>17</v>
      </c>
      <c r="B19" s="8" t="s">
        <v>945</v>
      </c>
      <c r="C19" s="8" t="s">
        <v>565</v>
      </c>
      <c r="D19" s="8" t="s">
        <v>594</v>
      </c>
      <c r="E19" s="8" t="s">
        <v>567</v>
      </c>
      <c r="F19" s="8" t="s">
        <v>595</v>
      </c>
      <c r="G19" s="8" t="s">
        <v>596</v>
      </c>
      <c r="H19" s="8" t="s">
        <v>597</v>
      </c>
      <c r="I19" s="8">
        <f t="shared" si="0"/>
        <v>3</v>
      </c>
      <c r="J19" s="9" t="s">
        <v>572</v>
      </c>
    </row>
    <row r="20" spans="1:10" x14ac:dyDescent="0.25">
      <c r="A20" s="7">
        <v>18</v>
      </c>
      <c r="B20" s="8" t="s">
        <v>945</v>
      </c>
      <c r="C20" s="8" t="s">
        <v>565</v>
      </c>
      <c r="D20" s="8" t="s">
        <v>599</v>
      </c>
      <c r="E20" s="8" t="s">
        <v>567</v>
      </c>
      <c r="F20" s="8" t="s">
        <v>600</v>
      </c>
      <c r="G20" s="8" t="s">
        <v>601</v>
      </c>
      <c r="H20" s="8"/>
      <c r="I20" s="8">
        <f t="shared" si="0"/>
        <v>2</v>
      </c>
      <c r="J20" s="9" t="s">
        <v>572</v>
      </c>
    </row>
    <row r="21" spans="1:10" x14ac:dyDescent="0.25">
      <c r="A21" s="7">
        <v>19</v>
      </c>
      <c r="B21" s="8" t="s">
        <v>945</v>
      </c>
      <c r="C21" s="8" t="s">
        <v>565</v>
      </c>
      <c r="D21" s="8" t="s">
        <v>603</v>
      </c>
      <c r="E21" s="8" t="s">
        <v>567</v>
      </c>
      <c r="F21" s="8" t="s">
        <v>604</v>
      </c>
      <c r="G21" s="8" t="s">
        <v>605</v>
      </c>
      <c r="H21" s="8"/>
      <c r="I21" s="8">
        <f t="shared" si="0"/>
        <v>2</v>
      </c>
      <c r="J21" s="9" t="s">
        <v>572</v>
      </c>
    </row>
    <row r="22" spans="1:10" x14ac:dyDescent="0.25">
      <c r="A22" s="7">
        <v>20</v>
      </c>
      <c r="B22" s="8" t="s">
        <v>945</v>
      </c>
      <c r="C22" s="8" t="s">
        <v>565</v>
      </c>
      <c r="D22" s="8" t="s">
        <v>607</v>
      </c>
      <c r="E22" s="8" t="s">
        <v>567</v>
      </c>
      <c r="F22" s="8" t="s">
        <v>608</v>
      </c>
      <c r="G22" s="8" t="s">
        <v>609</v>
      </c>
      <c r="H22" s="8" t="s">
        <v>610</v>
      </c>
      <c r="I22" s="8">
        <f t="shared" si="0"/>
        <v>3</v>
      </c>
      <c r="J22" s="9" t="s">
        <v>572</v>
      </c>
    </row>
    <row r="23" spans="1:10" x14ac:dyDescent="0.25">
      <c r="A23" s="7">
        <v>21</v>
      </c>
      <c r="B23" s="8" t="s">
        <v>945</v>
      </c>
      <c r="C23" s="8" t="s">
        <v>565</v>
      </c>
      <c r="D23" s="8" t="s">
        <v>612</v>
      </c>
      <c r="E23" s="8" t="s">
        <v>567</v>
      </c>
      <c r="F23" s="8" t="s">
        <v>613</v>
      </c>
      <c r="G23" s="8" t="s">
        <v>614</v>
      </c>
      <c r="H23" s="8" t="s">
        <v>615</v>
      </c>
      <c r="I23" s="8">
        <f t="shared" si="0"/>
        <v>3</v>
      </c>
      <c r="J23" s="9" t="s">
        <v>572</v>
      </c>
    </row>
    <row r="24" spans="1:10" x14ac:dyDescent="0.25">
      <c r="A24" s="7">
        <v>22</v>
      </c>
      <c r="B24" s="8" t="s">
        <v>945</v>
      </c>
      <c r="C24" s="8" t="s">
        <v>565</v>
      </c>
      <c r="D24" s="8" t="s">
        <v>617</v>
      </c>
      <c r="E24" s="8" t="s">
        <v>567</v>
      </c>
      <c r="F24" s="8" t="s">
        <v>618</v>
      </c>
      <c r="G24" s="8" t="s">
        <v>619</v>
      </c>
      <c r="H24" s="8"/>
      <c r="I24" s="8">
        <f t="shared" si="0"/>
        <v>2</v>
      </c>
      <c r="J24" s="9" t="s">
        <v>572</v>
      </c>
    </row>
    <row r="25" spans="1:10" x14ac:dyDescent="0.25">
      <c r="A25" s="7">
        <v>23</v>
      </c>
      <c r="B25" s="8" t="s">
        <v>945</v>
      </c>
      <c r="C25" s="8" t="s">
        <v>159</v>
      </c>
      <c r="D25" s="8" t="s">
        <v>621</v>
      </c>
      <c r="E25" s="8" t="s">
        <v>90</v>
      </c>
      <c r="F25" s="8" t="s">
        <v>622</v>
      </c>
      <c r="G25" s="8" t="s">
        <v>623</v>
      </c>
      <c r="H25" s="8"/>
      <c r="I25" s="8">
        <f t="shared" si="0"/>
        <v>2</v>
      </c>
      <c r="J25" s="9" t="s">
        <v>95</v>
      </c>
    </row>
    <row r="26" spans="1:10" x14ac:dyDescent="0.25">
      <c r="A26" s="7">
        <v>24</v>
      </c>
      <c r="B26" s="8" t="s">
        <v>945</v>
      </c>
      <c r="C26" s="8" t="s">
        <v>653</v>
      </c>
      <c r="D26" s="8" t="s">
        <v>654</v>
      </c>
      <c r="E26" s="8" t="s">
        <v>655</v>
      </c>
      <c r="F26" s="8" t="s">
        <v>656</v>
      </c>
      <c r="G26" s="8" t="s">
        <v>657</v>
      </c>
      <c r="H26" s="8" t="s">
        <v>658</v>
      </c>
      <c r="I26" s="8">
        <f t="shared" si="0"/>
        <v>3</v>
      </c>
      <c r="J26" s="9" t="s">
        <v>660</v>
      </c>
    </row>
    <row r="27" spans="1:10" x14ac:dyDescent="0.25">
      <c r="A27" s="7">
        <v>25</v>
      </c>
      <c r="B27" s="8" t="s">
        <v>945</v>
      </c>
      <c r="C27" s="8" t="s">
        <v>653</v>
      </c>
      <c r="D27" s="8" t="s">
        <v>662</v>
      </c>
      <c r="E27" s="8" t="s">
        <v>655</v>
      </c>
      <c r="F27" s="8" t="s">
        <v>663</v>
      </c>
      <c r="G27" s="8" t="s">
        <v>664</v>
      </c>
      <c r="H27" s="8" t="s">
        <v>665</v>
      </c>
      <c r="I27" s="8">
        <f t="shared" si="0"/>
        <v>3</v>
      </c>
      <c r="J27" s="9" t="s">
        <v>660</v>
      </c>
    </row>
    <row r="28" spans="1:10" x14ac:dyDescent="0.25">
      <c r="A28" s="7">
        <v>26</v>
      </c>
      <c r="B28" s="8" t="s">
        <v>945</v>
      </c>
      <c r="C28" s="8" t="s">
        <v>653</v>
      </c>
      <c r="D28" s="8" t="s">
        <v>669</v>
      </c>
      <c r="E28" s="8" t="s">
        <v>655</v>
      </c>
      <c r="F28" s="8" t="s">
        <v>670</v>
      </c>
      <c r="G28" s="8" t="s">
        <v>671</v>
      </c>
      <c r="H28" s="8" t="s">
        <v>672</v>
      </c>
      <c r="I28" s="8">
        <f t="shared" si="0"/>
        <v>3</v>
      </c>
      <c r="J28" s="9" t="s">
        <v>660</v>
      </c>
    </row>
    <row r="29" spans="1:10" x14ac:dyDescent="0.25">
      <c r="A29" s="7">
        <v>27</v>
      </c>
      <c r="B29" s="8" t="s">
        <v>946</v>
      </c>
      <c r="C29" s="8" t="s">
        <v>653</v>
      </c>
      <c r="D29" s="8" t="s">
        <v>695</v>
      </c>
      <c r="E29" s="8" t="s">
        <v>655</v>
      </c>
      <c r="F29" s="8" t="s">
        <v>696</v>
      </c>
      <c r="G29" s="8" t="s">
        <v>697</v>
      </c>
      <c r="H29" s="8" t="s">
        <v>698</v>
      </c>
      <c r="I29" s="8">
        <f t="shared" si="0"/>
        <v>3</v>
      </c>
      <c r="J29" s="9" t="s">
        <v>660</v>
      </c>
    </row>
    <row r="30" spans="1:10" x14ac:dyDescent="0.25">
      <c r="A30" s="7">
        <v>28</v>
      </c>
      <c r="B30" s="8"/>
      <c r="C30" s="8" t="s">
        <v>743</v>
      </c>
      <c r="D30" s="8" t="s">
        <v>752</v>
      </c>
      <c r="E30" s="8" t="s">
        <v>745</v>
      </c>
      <c r="F30" s="8" t="s">
        <v>753</v>
      </c>
      <c r="G30" s="8"/>
      <c r="H30" s="8"/>
      <c r="I30" s="8">
        <f t="shared" si="0"/>
        <v>1</v>
      </c>
      <c r="J30" s="9" t="s">
        <v>750</v>
      </c>
    </row>
    <row r="31" spans="1:10" x14ac:dyDescent="0.25">
      <c r="A31" s="7">
        <v>29</v>
      </c>
      <c r="B31" s="8" t="s">
        <v>945</v>
      </c>
      <c r="C31" s="8" t="s">
        <v>771</v>
      </c>
      <c r="D31" s="8" t="s">
        <v>772</v>
      </c>
      <c r="E31" s="8" t="s">
        <v>45</v>
      </c>
      <c r="F31" s="8" t="s">
        <v>773</v>
      </c>
      <c r="G31" s="8" t="s">
        <v>774</v>
      </c>
      <c r="H31" s="8"/>
      <c r="I31" s="8">
        <f t="shared" si="0"/>
        <v>2</v>
      </c>
      <c r="J31" s="9" t="s">
        <v>48</v>
      </c>
    </row>
    <row r="32" spans="1:10" x14ac:dyDescent="0.25">
      <c r="A32" s="7">
        <v>30</v>
      </c>
      <c r="B32" s="8"/>
      <c r="C32" s="8" t="s">
        <v>634</v>
      </c>
      <c r="D32" s="8" t="s">
        <v>153</v>
      </c>
      <c r="E32" s="8" t="s">
        <v>635</v>
      </c>
      <c r="F32" s="8" t="s">
        <v>636</v>
      </c>
      <c r="G32" s="8"/>
      <c r="H32" s="8"/>
      <c r="I32" s="8">
        <f t="shared" si="0"/>
        <v>1</v>
      </c>
      <c r="J32" s="9" t="s">
        <v>638</v>
      </c>
    </row>
    <row r="33" spans="1:10" x14ac:dyDescent="0.25">
      <c r="A33" s="7">
        <v>31</v>
      </c>
      <c r="B33" s="8" t="s">
        <v>945</v>
      </c>
      <c r="C33" s="8" t="s">
        <v>505</v>
      </c>
      <c r="D33" s="8" t="s">
        <v>845</v>
      </c>
      <c r="E33" s="8" t="s">
        <v>507</v>
      </c>
      <c r="F33" s="8" t="s">
        <v>846</v>
      </c>
      <c r="G33" s="8" t="s">
        <v>847</v>
      </c>
      <c r="H33" s="8"/>
      <c r="I33" s="8">
        <f t="shared" si="0"/>
        <v>2</v>
      </c>
      <c r="J33" s="9" t="s">
        <v>511</v>
      </c>
    </row>
    <row r="34" spans="1:10" x14ac:dyDescent="0.25">
      <c r="A34" s="7">
        <v>32</v>
      </c>
      <c r="B34" s="8" t="s">
        <v>945</v>
      </c>
      <c r="C34" s="8" t="s">
        <v>505</v>
      </c>
      <c r="D34" s="8" t="s">
        <v>890</v>
      </c>
      <c r="E34" s="8" t="s">
        <v>507</v>
      </c>
      <c r="F34" s="8" t="s">
        <v>891</v>
      </c>
      <c r="G34" s="8" t="s">
        <v>892</v>
      </c>
      <c r="H34" s="8"/>
      <c r="I34" s="8">
        <f t="shared" si="0"/>
        <v>2</v>
      </c>
      <c r="J34" s="9" t="s">
        <v>511</v>
      </c>
    </row>
    <row r="35" spans="1:10" x14ac:dyDescent="0.25">
      <c r="A35" s="7">
        <v>33</v>
      </c>
      <c r="B35" s="8" t="s">
        <v>945</v>
      </c>
      <c r="C35" s="8" t="s">
        <v>505</v>
      </c>
      <c r="D35" s="8" t="s">
        <v>894</v>
      </c>
      <c r="E35" s="8" t="s">
        <v>507</v>
      </c>
      <c r="F35" s="8" t="s">
        <v>895</v>
      </c>
      <c r="G35" s="8" t="s">
        <v>896</v>
      </c>
      <c r="H35" s="8" t="s">
        <v>897</v>
      </c>
      <c r="I35" s="8">
        <f t="shared" si="0"/>
        <v>3</v>
      </c>
      <c r="J35" s="9" t="s">
        <v>511</v>
      </c>
    </row>
    <row r="36" spans="1:10" x14ac:dyDescent="0.25">
      <c r="A36" s="7">
        <v>34</v>
      </c>
      <c r="B36" s="8" t="s">
        <v>951</v>
      </c>
      <c r="C36" s="8" t="s">
        <v>911</v>
      </c>
      <c r="D36" s="8" t="s">
        <v>912</v>
      </c>
      <c r="E36" s="8" t="s">
        <v>913</v>
      </c>
      <c r="F36" s="8" t="s">
        <v>914</v>
      </c>
      <c r="G36" s="8"/>
      <c r="H36" s="8"/>
      <c r="I36" s="8">
        <f t="shared" si="0"/>
        <v>1</v>
      </c>
      <c r="J36" s="9" t="s">
        <v>916</v>
      </c>
    </row>
    <row r="37" spans="1:10" x14ac:dyDescent="0.25">
      <c r="A37" s="7">
        <v>35</v>
      </c>
      <c r="B37" s="8" t="s">
        <v>945</v>
      </c>
      <c r="C37" s="8" t="s">
        <v>919</v>
      </c>
      <c r="D37" s="8" t="s">
        <v>920</v>
      </c>
      <c r="E37" s="8" t="s">
        <v>921</v>
      </c>
      <c r="F37" s="8" t="s">
        <v>922</v>
      </c>
      <c r="G37" s="8" t="s">
        <v>923</v>
      </c>
      <c r="H37" s="8"/>
      <c r="I37" s="8">
        <f t="shared" si="0"/>
        <v>2</v>
      </c>
      <c r="J37" s="9" t="s">
        <v>924</v>
      </c>
    </row>
    <row r="38" spans="1:10" ht="15.75" thickBot="1" x14ac:dyDescent="0.3">
      <c r="A38" s="10">
        <v>36</v>
      </c>
      <c r="B38" s="11" t="s">
        <v>945</v>
      </c>
      <c r="C38" s="11" t="s">
        <v>919</v>
      </c>
      <c r="D38" s="11" t="s">
        <v>926</v>
      </c>
      <c r="E38" s="11" t="s">
        <v>154</v>
      </c>
      <c r="F38" s="11" t="s">
        <v>927</v>
      </c>
      <c r="G38" s="11" t="s">
        <v>928</v>
      </c>
      <c r="H38" s="11"/>
      <c r="I38" s="11">
        <f t="shared" si="0"/>
        <v>2</v>
      </c>
      <c r="J38" s="12" t="s">
        <v>924</v>
      </c>
    </row>
    <row r="39" spans="1:10" ht="15.75" thickBot="1" x14ac:dyDescent="0.3">
      <c r="I39" s="14">
        <f>SUM(I3:I38)</f>
        <v>78</v>
      </c>
    </row>
  </sheetData>
  <mergeCells count="1">
    <mergeCell ref="A1:J1"/>
  </mergeCells>
  <pageMargins left="0.7" right="0.7" top="0.75" bottom="0.75" header="0.3" footer="0.3"/>
  <pageSetup paperSize="9" scale="51" fitToHeight="0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E42F9-61A5-41FB-93B6-B65463556357}">
  <dimension ref="A1:J40"/>
  <sheetViews>
    <sheetView topLeftCell="A13" workbookViewId="0">
      <selection activeCell="C29" sqref="C29"/>
    </sheetView>
  </sheetViews>
  <sheetFormatPr defaultRowHeight="15" x14ac:dyDescent="0.25"/>
  <cols>
    <col min="2" max="2" width="16.42578125" customWidth="1"/>
    <col min="3" max="3" width="24.140625" customWidth="1"/>
    <col min="4" max="4" width="21.5703125" customWidth="1"/>
    <col min="5" max="5" width="34" bestFit="1" customWidth="1"/>
    <col min="6" max="6" width="34.7109375" customWidth="1"/>
    <col min="7" max="7" width="35.85546875" bestFit="1" customWidth="1"/>
    <col min="8" max="8" width="28.42578125" customWidth="1"/>
    <col min="9" max="9" width="9.42578125" customWidth="1"/>
    <col min="10" max="10" width="24.140625" bestFit="1" customWidth="1"/>
  </cols>
  <sheetData>
    <row r="1" spans="1:10" ht="21.75" thickBot="1" x14ac:dyDescent="0.4">
      <c r="A1" s="22" t="s">
        <v>952</v>
      </c>
      <c r="B1" s="23"/>
      <c r="C1" s="23"/>
      <c r="D1" s="23"/>
      <c r="E1" s="23"/>
      <c r="F1" s="23"/>
      <c r="G1" s="23"/>
      <c r="H1" s="23"/>
      <c r="I1" s="23"/>
      <c r="J1" s="24"/>
    </row>
    <row r="2" spans="1:10" ht="30" x14ac:dyDescent="0.25">
      <c r="A2" s="2" t="s">
        <v>937</v>
      </c>
      <c r="B2" s="3" t="s">
        <v>938</v>
      </c>
      <c r="C2" s="4" t="s">
        <v>939</v>
      </c>
      <c r="D2" s="4" t="s">
        <v>2</v>
      </c>
      <c r="E2" s="4" t="s">
        <v>940</v>
      </c>
      <c r="F2" s="4" t="s">
        <v>942</v>
      </c>
      <c r="G2" s="4" t="s">
        <v>943</v>
      </c>
      <c r="H2" s="4" t="s">
        <v>944</v>
      </c>
      <c r="I2" s="16" t="s">
        <v>941</v>
      </c>
      <c r="J2" s="6" t="s">
        <v>8</v>
      </c>
    </row>
    <row r="3" spans="1:10" x14ac:dyDescent="0.25">
      <c r="A3" s="7">
        <v>1</v>
      </c>
      <c r="B3" s="8"/>
      <c r="C3" s="8" t="s">
        <v>19</v>
      </c>
      <c r="D3" s="8" t="s">
        <v>20</v>
      </c>
      <c r="E3" s="8" t="s">
        <v>21</v>
      </c>
      <c r="F3" s="8" t="s">
        <v>22</v>
      </c>
      <c r="G3" s="8"/>
      <c r="H3" s="8"/>
      <c r="I3" s="8">
        <f>COUNTA(F3:H3)</f>
        <v>1</v>
      </c>
      <c r="J3" s="9" t="s">
        <v>24</v>
      </c>
    </row>
    <row r="4" spans="1:10" x14ac:dyDescent="0.25">
      <c r="A4" s="7">
        <v>2</v>
      </c>
      <c r="B4" s="8" t="s">
        <v>947</v>
      </c>
      <c r="C4" s="8" t="s">
        <v>43</v>
      </c>
      <c r="D4" s="8" t="s">
        <v>44</v>
      </c>
      <c r="E4" s="8" t="s">
        <v>45</v>
      </c>
      <c r="F4" s="8" t="s">
        <v>46</v>
      </c>
      <c r="G4" s="8"/>
      <c r="H4" s="8"/>
      <c r="I4" s="8">
        <f t="shared" ref="I4:I39" si="0">COUNTA(F4:H4)</f>
        <v>1</v>
      </c>
      <c r="J4" s="9" t="s">
        <v>48</v>
      </c>
    </row>
    <row r="5" spans="1:10" x14ac:dyDescent="0.25">
      <c r="A5" s="7">
        <v>3</v>
      </c>
      <c r="B5" s="8" t="s">
        <v>947</v>
      </c>
      <c r="C5" s="8" t="s">
        <v>152</v>
      </c>
      <c r="D5" s="8" t="s">
        <v>153</v>
      </c>
      <c r="E5" s="8" t="s">
        <v>154</v>
      </c>
      <c r="F5" s="8" t="s">
        <v>155</v>
      </c>
      <c r="G5" s="8"/>
      <c r="H5" s="8"/>
      <c r="I5" s="8">
        <f t="shared" si="0"/>
        <v>1</v>
      </c>
      <c r="J5" s="9" t="s">
        <v>157</v>
      </c>
    </row>
    <row r="6" spans="1:10" x14ac:dyDescent="0.25">
      <c r="A6" s="7">
        <v>4</v>
      </c>
      <c r="B6" s="8" t="s">
        <v>947</v>
      </c>
      <c r="C6" s="8" t="s">
        <v>159</v>
      </c>
      <c r="D6" s="8" t="s">
        <v>160</v>
      </c>
      <c r="E6" s="8" t="s">
        <v>90</v>
      </c>
      <c r="F6" s="8" t="s">
        <v>161</v>
      </c>
      <c r="G6" s="8" t="s">
        <v>162</v>
      </c>
      <c r="H6" s="8" t="s">
        <v>163</v>
      </c>
      <c r="I6" s="8">
        <f t="shared" si="0"/>
        <v>3</v>
      </c>
      <c r="J6" s="9" t="s">
        <v>95</v>
      </c>
    </row>
    <row r="7" spans="1:10" x14ac:dyDescent="0.25">
      <c r="A7" s="7">
        <v>5</v>
      </c>
      <c r="B7" s="8"/>
      <c r="C7" s="8" t="s">
        <v>320</v>
      </c>
      <c r="D7" s="8" t="s">
        <v>321</v>
      </c>
      <c r="E7" s="8" t="s">
        <v>21</v>
      </c>
      <c r="F7" s="8" t="s">
        <v>322</v>
      </c>
      <c r="G7" s="8"/>
      <c r="H7" s="8"/>
      <c r="I7" s="8">
        <f t="shared" si="0"/>
        <v>1</v>
      </c>
      <c r="J7" s="9" t="s">
        <v>24</v>
      </c>
    </row>
    <row r="8" spans="1:10" x14ac:dyDescent="0.25">
      <c r="A8" s="7">
        <v>6</v>
      </c>
      <c r="B8" s="8"/>
      <c r="C8" s="8" t="s">
        <v>320</v>
      </c>
      <c r="D8" s="8" t="s">
        <v>338</v>
      </c>
      <c r="E8" s="8" t="s">
        <v>21</v>
      </c>
      <c r="F8" s="8" t="s">
        <v>339</v>
      </c>
      <c r="G8" s="8"/>
      <c r="H8" s="8"/>
      <c r="I8" s="8">
        <f t="shared" si="0"/>
        <v>1</v>
      </c>
      <c r="J8" s="9" t="s">
        <v>24</v>
      </c>
    </row>
    <row r="9" spans="1:10" x14ac:dyDescent="0.25">
      <c r="A9" s="7">
        <v>7</v>
      </c>
      <c r="B9" s="8" t="s">
        <v>947</v>
      </c>
      <c r="C9" s="8" t="s">
        <v>374</v>
      </c>
      <c r="D9" s="8" t="s">
        <v>375</v>
      </c>
      <c r="E9" s="8" t="s">
        <v>376</v>
      </c>
      <c r="F9" s="8" t="s">
        <v>377</v>
      </c>
      <c r="G9" s="8" t="s">
        <v>378</v>
      </c>
      <c r="H9" s="8"/>
      <c r="I9" s="8">
        <f t="shared" si="0"/>
        <v>2</v>
      </c>
      <c r="J9" s="9" t="s">
        <v>380</v>
      </c>
    </row>
    <row r="10" spans="1:10" x14ac:dyDescent="0.25">
      <c r="A10" s="7">
        <v>8</v>
      </c>
      <c r="B10" s="8" t="s">
        <v>947</v>
      </c>
      <c r="C10" s="8" t="s">
        <v>374</v>
      </c>
      <c r="D10" s="8" t="s">
        <v>382</v>
      </c>
      <c r="E10" s="8" t="s">
        <v>376</v>
      </c>
      <c r="F10" s="8" t="s">
        <v>383</v>
      </c>
      <c r="G10" s="8" t="s">
        <v>384</v>
      </c>
      <c r="H10" s="8"/>
      <c r="I10" s="8">
        <f t="shared" si="0"/>
        <v>2</v>
      </c>
      <c r="J10" s="9" t="s">
        <v>380</v>
      </c>
    </row>
    <row r="11" spans="1:10" x14ac:dyDescent="0.25">
      <c r="A11" s="7">
        <v>9</v>
      </c>
      <c r="B11" s="8" t="s">
        <v>947</v>
      </c>
      <c r="C11" s="8" t="s">
        <v>374</v>
      </c>
      <c r="D11" s="8" t="s">
        <v>386</v>
      </c>
      <c r="E11" s="8" t="s">
        <v>376</v>
      </c>
      <c r="F11" s="8" t="s">
        <v>387</v>
      </c>
      <c r="G11" s="8" t="s">
        <v>388</v>
      </c>
      <c r="H11" s="8"/>
      <c r="I11" s="8">
        <f t="shared" si="0"/>
        <v>2</v>
      </c>
      <c r="J11" s="9" t="s">
        <v>380</v>
      </c>
    </row>
    <row r="12" spans="1:10" x14ac:dyDescent="0.25">
      <c r="A12" s="7">
        <v>10</v>
      </c>
      <c r="B12" s="8" t="s">
        <v>947</v>
      </c>
      <c r="C12" s="8" t="s">
        <v>374</v>
      </c>
      <c r="D12" s="8" t="s">
        <v>390</v>
      </c>
      <c r="E12" s="8" t="s">
        <v>376</v>
      </c>
      <c r="F12" s="8" t="s">
        <v>391</v>
      </c>
      <c r="G12" s="8" t="s">
        <v>392</v>
      </c>
      <c r="H12" s="8"/>
      <c r="I12" s="8">
        <f t="shared" si="0"/>
        <v>2</v>
      </c>
      <c r="J12" s="9" t="s">
        <v>380</v>
      </c>
    </row>
    <row r="13" spans="1:10" x14ac:dyDescent="0.25">
      <c r="A13" s="7">
        <v>11</v>
      </c>
      <c r="B13" s="8" t="s">
        <v>947</v>
      </c>
      <c r="C13" s="8" t="s">
        <v>374</v>
      </c>
      <c r="D13" s="8" t="s">
        <v>399</v>
      </c>
      <c r="E13" s="8" t="s">
        <v>376</v>
      </c>
      <c r="F13" s="8" t="s">
        <v>400</v>
      </c>
      <c r="G13" s="8"/>
      <c r="H13" s="8"/>
      <c r="I13" s="8">
        <f t="shared" si="0"/>
        <v>1</v>
      </c>
      <c r="J13" s="9" t="s">
        <v>380</v>
      </c>
    </row>
    <row r="14" spans="1:10" x14ac:dyDescent="0.25">
      <c r="A14" s="7">
        <v>12</v>
      </c>
      <c r="B14" s="8" t="s">
        <v>947</v>
      </c>
      <c r="C14" s="8" t="s">
        <v>374</v>
      </c>
      <c r="D14" s="8" t="s">
        <v>402</v>
      </c>
      <c r="E14" s="8" t="s">
        <v>376</v>
      </c>
      <c r="F14" s="8" t="s">
        <v>403</v>
      </c>
      <c r="G14" s="8" t="s">
        <v>404</v>
      </c>
      <c r="H14" s="8"/>
      <c r="I14" s="8">
        <f t="shared" si="0"/>
        <v>2</v>
      </c>
      <c r="J14" s="9" t="s">
        <v>380</v>
      </c>
    </row>
    <row r="15" spans="1:10" x14ac:dyDescent="0.25">
      <c r="A15" s="7">
        <v>13</v>
      </c>
      <c r="B15" s="8"/>
      <c r="C15" s="8" t="s">
        <v>948</v>
      </c>
      <c r="D15" s="8" t="s">
        <v>449</v>
      </c>
      <c r="E15" s="8" t="s">
        <v>443</v>
      </c>
      <c r="F15" s="8" t="s">
        <v>450</v>
      </c>
      <c r="G15" s="8" t="s">
        <v>451</v>
      </c>
      <c r="H15" s="8"/>
      <c r="I15" s="8">
        <f t="shared" si="0"/>
        <v>2</v>
      </c>
      <c r="J15" s="9" t="s">
        <v>446</v>
      </c>
    </row>
    <row r="16" spans="1:10" x14ac:dyDescent="0.25">
      <c r="A16" s="7">
        <v>14</v>
      </c>
      <c r="B16" s="8"/>
      <c r="C16" s="8" t="s">
        <v>948</v>
      </c>
      <c r="D16" s="8" t="s">
        <v>454</v>
      </c>
      <c r="E16" s="8" t="s">
        <v>443</v>
      </c>
      <c r="F16" s="8" t="s">
        <v>455</v>
      </c>
      <c r="G16" s="8" t="s">
        <v>456</v>
      </c>
      <c r="H16" s="8"/>
      <c r="I16" s="8">
        <f t="shared" si="0"/>
        <v>2</v>
      </c>
      <c r="J16" s="9" t="s">
        <v>446</v>
      </c>
    </row>
    <row r="17" spans="1:10" x14ac:dyDescent="0.25">
      <c r="A17" s="7">
        <v>15</v>
      </c>
      <c r="B17" s="8" t="s">
        <v>947</v>
      </c>
      <c r="C17" s="8" t="s">
        <v>505</v>
      </c>
      <c r="D17" s="8" t="s">
        <v>506</v>
      </c>
      <c r="E17" s="8" t="s">
        <v>507</v>
      </c>
      <c r="F17" s="8" t="s">
        <v>508</v>
      </c>
      <c r="G17" s="8" t="s">
        <v>509</v>
      </c>
      <c r="H17" s="8"/>
      <c r="I17" s="8">
        <f t="shared" si="0"/>
        <v>2</v>
      </c>
      <c r="J17" s="9" t="s">
        <v>511</v>
      </c>
    </row>
    <row r="18" spans="1:10" x14ac:dyDescent="0.25">
      <c r="A18" s="7">
        <v>16</v>
      </c>
      <c r="B18" s="8" t="s">
        <v>947</v>
      </c>
      <c r="C18" s="8" t="s">
        <v>505</v>
      </c>
      <c r="D18" s="8" t="s">
        <v>513</v>
      </c>
      <c r="E18" s="8" t="s">
        <v>507</v>
      </c>
      <c r="F18" s="8" t="s">
        <v>514</v>
      </c>
      <c r="G18" s="8" t="s">
        <v>515</v>
      </c>
      <c r="H18" s="8"/>
      <c r="I18" s="8">
        <f t="shared" si="0"/>
        <v>2</v>
      </c>
      <c r="J18" s="9" t="s">
        <v>511</v>
      </c>
    </row>
    <row r="19" spans="1:10" x14ac:dyDescent="0.25">
      <c r="A19" s="7">
        <v>17</v>
      </c>
      <c r="B19" s="8" t="s">
        <v>947</v>
      </c>
      <c r="C19" s="8" t="s">
        <v>565</v>
      </c>
      <c r="D19" s="8" t="s">
        <v>566</v>
      </c>
      <c r="E19" s="8" t="s">
        <v>567</v>
      </c>
      <c r="F19" s="8" t="s">
        <v>568</v>
      </c>
      <c r="G19" s="8" t="s">
        <v>569</v>
      </c>
      <c r="H19" s="8" t="s">
        <v>570</v>
      </c>
      <c r="I19" s="8">
        <f t="shared" si="0"/>
        <v>3</v>
      </c>
      <c r="J19" s="9" t="s">
        <v>572</v>
      </c>
    </row>
    <row r="20" spans="1:10" x14ac:dyDescent="0.25">
      <c r="A20" s="7">
        <v>18</v>
      </c>
      <c r="B20" s="8" t="s">
        <v>947</v>
      </c>
      <c r="C20" s="8" t="s">
        <v>565</v>
      </c>
      <c r="D20" s="8" t="s">
        <v>589</v>
      </c>
      <c r="E20" s="8" t="s">
        <v>567</v>
      </c>
      <c r="F20" s="8" t="s">
        <v>590</v>
      </c>
      <c r="G20" s="8" t="s">
        <v>591</v>
      </c>
      <c r="H20" s="8" t="s">
        <v>592</v>
      </c>
      <c r="I20" s="8">
        <f t="shared" si="0"/>
        <v>3</v>
      </c>
      <c r="J20" s="9" t="s">
        <v>572</v>
      </c>
    </row>
    <row r="21" spans="1:10" x14ac:dyDescent="0.25">
      <c r="A21" s="7">
        <v>19</v>
      </c>
      <c r="B21" s="8" t="s">
        <v>947</v>
      </c>
      <c r="C21" s="8" t="s">
        <v>565</v>
      </c>
      <c r="D21" s="8" t="s">
        <v>594</v>
      </c>
      <c r="E21" s="8" t="s">
        <v>567</v>
      </c>
      <c r="F21" s="8" t="s">
        <v>595</v>
      </c>
      <c r="G21" s="8" t="s">
        <v>596</v>
      </c>
      <c r="H21" s="8" t="s">
        <v>597</v>
      </c>
      <c r="I21" s="8">
        <f t="shared" si="0"/>
        <v>3</v>
      </c>
      <c r="J21" s="9" t="s">
        <v>572</v>
      </c>
    </row>
    <row r="22" spans="1:10" x14ac:dyDescent="0.25">
      <c r="A22" s="7">
        <v>20</v>
      </c>
      <c r="B22" s="8" t="s">
        <v>947</v>
      </c>
      <c r="C22" s="8" t="s">
        <v>565</v>
      </c>
      <c r="D22" s="8" t="s">
        <v>599</v>
      </c>
      <c r="E22" s="8" t="s">
        <v>567</v>
      </c>
      <c r="F22" s="8" t="s">
        <v>600</v>
      </c>
      <c r="G22" s="8" t="s">
        <v>601</v>
      </c>
      <c r="H22" s="8"/>
      <c r="I22" s="8">
        <f t="shared" si="0"/>
        <v>2</v>
      </c>
      <c r="J22" s="9" t="s">
        <v>572</v>
      </c>
    </row>
    <row r="23" spans="1:10" x14ac:dyDescent="0.25">
      <c r="A23" s="7">
        <v>21</v>
      </c>
      <c r="B23" s="8" t="s">
        <v>947</v>
      </c>
      <c r="C23" s="8" t="s">
        <v>565</v>
      </c>
      <c r="D23" s="8" t="s">
        <v>603</v>
      </c>
      <c r="E23" s="8" t="s">
        <v>567</v>
      </c>
      <c r="F23" s="8" t="s">
        <v>604</v>
      </c>
      <c r="G23" s="8" t="s">
        <v>605</v>
      </c>
      <c r="H23" s="8"/>
      <c r="I23" s="8">
        <f t="shared" si="0"/>
        <v>2</v>
      </c>
      <c r="J23" s="9" t="s">
        <v>572</v>
      </c>
    </row>
    <row r="24" spans="1:10" x14ac:dyDescent="0.25">
      <c r="A24" s="7">
        <v>22</v>
      </c>
      <c r="B24" s="8" t="s">
        <v>947</v>
      </c>
      <c r="C24" s="8" t="s">
        <v>565</v>
      </c>
      <c r="D24" s="8" t="s">
        <v>607</v>
      </c>
      <c r="E24" s="8" t="s">
        <v>567</v>
      </c>
      <c r="F24" s="8" t="s">
        <v>608</v>
      </c>
      <c r="G24" s="8" t="s">
        <v>609</v>
      </c>
      <c r="H24" s="8" t="s">
        <v>610</v>
      </c>
      <c r="I24" s="8">
        <f t="shared" si="0"/>
        <v>3</v>
      </c>
      <c r="J24" s="9" t="s">
        <v>572</v>
      </c>
    </row>
    <row r="25" spans="1:10" x14ac:dyDescent="0.25">
      <c r="A25" s="7">
        <v>23</v>
      </c>
      <c r="B25" s="8" t="s">
        <v>947</v>
      </c>
      <c r="C25" s="8" t="s">
        <v>565</v>
      </c>
      <c r="D25" s="8" t="s">
        <v>612</v>
      </c>
      <c r="E25" s="8" t="s">
        <v>567</v>
      </c>
      <c r="F25" s="8" t="s">
        <v>613</v>
      </c>
      <c r="G25" s="8" t="s">
        <v>614</v>
      </c>
      <c r="H25" s="8" t="s">
        <v>615</v>
      </c>
      <c r="I25" s="8">
        <f t="shared" si="0"/>
        <v>3</v>
      </c>
      <c r="J25" s="9" t="s">
        <v>572</v>
      </c>
    </row>
    <row r="26" spans="1:10" x14ac:dyDescent="0.25">
      <c r="A26" s="7">
        <v>24</v>
      </c>
      <c r="B26" s="8" t="s">
        <v>947</v>
      </c>
      <c r="C26" s="8" t="s">
        <v>565</v>
      </c>
      <c r="D26" s="8" t="s">
        <v>617</v>
      </c>
      <c r="E26" s="8" t="s">
        <v>567</v>
      </c>
      <c r="F26" s="8" t="s">
        <v>618</v>
      </c>
      <c r="G26" s="8" t="s">
        <v>619</v>
      </c>
      <c r="H26" s="8"/>
      <c r="I26" s="8">
        <f t="shared" si="0"/>
        <v>2</v>
      </c>
      <c r="J26" s="9" t="s">
        <v>572</v>
      </c>
    </row>
    <row r="27" spans="1:10" x14ac:dyDescent="0.25">
      <c r="A27" s="7">
        <v>25</v>
      </c>
      <c r="B27" s="8" t="s">
        <v>947</v>
      </c>
      <c r="C27" s="8" t="s">
        <v>159</v>
      </c>
      <c r="D27" s="8" t="s">
        <v>621</v>
      </c>
      <c r="E27" s="8" t="s">
        <v>90</v>
      </c>
      <c r="F27" s="8" t="s">
        <v>622</v>
      </c>
      <c r="G27" s="8" t="s">
        <v>623</v>
      </c>
      <c r="H27" s="8"/>
      <c r="I27" s="8">
        <f t="shared" si="0"/>
        <v>2</v>
      </c>
      <c r="J27" s="9" t="s">
        <v>95</v>
      </c>
    </row>
    <row r="28" spans="1:10" x14ac:dyDescent="0.25">
      <c r="A28" s="7">
        <v>26</v>
      </c>
      <c r="B28" s="8"/>
      <c r="C28" s="8" t="s">
        <v>634</v>
      </c>
      <c r="D28" s="8" t="s">
        <v>153</v>
      </c>
      <c r="E28" s="8" t="s">
        <v>635</v>
      </c>
      <c r="F28" s="8" t="s">
        <v>636</v>
      </c>
      <c r="G28" s="8"/>
      <c r="H28" s="8"/>
      <c r="I28" s="8">
        <f t="shared" si="0"/>
        <v>1</v>
      </c>
      <c r="J28" s="9" t="s">
        <v>638</v>
      </c>
    </row>
    <row r="29" spans="1:10" x14ac:dyDescent="0.25">
      <c r="A29" s="7">
        <v>27</v>
      </c>
      <c r="B29" s="8" t="s">
        <v>947</v>
      </c>
      <c r="C29" s="8" t="s">
        <v>653</v>
      </c>
      <c r="D29" s="8" t="s">
        <v>654</v>
      </c>
      <c r="E29" s="8" t="s">
        <v>655</v>
      </c>
      <c r="F29" s="8" t="s">
        <v>656</v>
      </c>
      <c r="G29" s="8" t="s">
        <v>657</v>
      </c>
      <c r="H29" s="8" t="s">
        <v>658</v>
      </c>
      <c r="I29" s="8">
        <f t="shared" si="0"/>
        <v>3</v>
      </c>
      <c r="J29" s="9" t="s">
        <v>660</v>
      </c>
    </row>
    <row r="30" spans="1:10" x14ac:dyDescent="0.25">
      <c r="A30" s="7">
        <v>28</v>
      </c>
      <c r="B30" s="8" t="s">
        <v>947</v>
      </c>
      <c r="C30" s="8" t="s">
        <v>653</v>
      </c>
      <c r="D30" s="8" t="s">
        <v>662</v>
      </c>
      <c r="E30" s="8" t="s">
        <v>655</v>
      </c>
      <c r="F30" s="8" t="s">
        <v>663</v>
      </c>
      <c r="G30" s="8" t="s">
        <v>664</v>
      </c>
      <c r="H30" s="8" t="s">
        <v>665</v>
      </c>
      <c r="I30" s="8">
        <f t="shared" si="0"/>
        <v>3</v>
      </c>
      <c r="J30" s="9" t="s">
        <v>660</v>
      </c>
    </row>
    <row r="31" spans="1:10" x14ac:dyDescent="0.25">
      <c r="A31" s="7">
        <v>29</v>
      </c>
      <c r="B31" s="8" t="s">
        <v>947</v>
      </c>
      <c r="C31" s="8" t="s">
        <v>653</v>
      </c>
      <c r="D31" s="8" t="s">
        <v>669</v>
      </c>
      <c r="E31" s="8" t="s">
        <v>655</v>
      </c>
      <c r="F31" s="8" t="s">
        <v>670</v>
      </c>
      <c r="G31" s="8" t="s">
        <v>671</v>
      </c>
      <c r="H31" s="8" t="s">
        <v>672</v>
      </c>
      <c r="I31" s="8">
        <f t="shared" si="0"/>
        <v>3</v>
      </c>
      <c r="J31" s="9" t="s">
        <v>660</v>
      </c>
    </row>
    <row r="32" spans="1:10" x14ac:dyDescent="0.25">
      <c r="A32" s="7">
        <v>30</v>
      </c>
      <c r="B32" s="8" t="s">
        <v>949</v>
      </c>
      <c r="C32" s="8" t="s">
        <v>653</v>
      </c>
      <c r="D32" s="8" t="s">
        <v>695</v>
      </c>
      <c r="E32" s="8" t="s">
        <v>655</v>
      </c>
      <c r="F32" s="8" t="s">
        <v>696</v>
      </c>
      <c r="G32" s="8" t="s">
        <v>697</v>
      </c>
      <c r="H32" s="8" t="s">
        <v>698</v>
      </c>
      <c r="I32" s="8">
        <f t="shared" si="0"/>
        <v>3</v>
      </c>
      <c r="J32" s="9" t="s">
        <v>660</v>
      </c>
    </row>
    <row r="33" spans="1:10" x14ac:dyDescent="0.25">
      <c r="A33" s="7">
        <v>31</v>
      </c>
      <c r="B33" s="8" t="s">
        <v>947</v>
      </c>
      <c r="C33" s="8" t="s">
        <v>771</v>
      </c>
      <c r="D33" s="8" t="s">
        <v>772</v>
      </c>
      <c r="E33" s="8" t="s">
        <v>45</v>
      </c>
      <c r="F33" s="8" t="s">
        <v>773</v>
      </c>
      <c r="G33" s="8" t="s">
        <v>774</v>
      </c>
      <c r="H33" s="8"/>
      <c r="I33" s="8">
        <f t="shared" si="0"/>
        <v>2</v>
      </c>
      <c r="J33" s="9" t="s">
        <v>48</v>
      </c>
    </row>
    <row r="34" spans="1:10" x14ac:dyDescent="0.25">
      <c r="A34" s="7">
        <v>32</v>
      </c>
      <c r="B34" s="8" t="s">
        <v>947</v>
      </c>
      <c r="C34" s="8" t="s">
        <v>505</v>
      </c>
      <c r="D34" s="8" t="s">
        <v>845</v>
      </c>
      <c r="E34" s="8" t="s">
        <v>507</v>
      </c>
      <c r="F34" s="8" t="s">
        <v>846</v>
      </c>
      <c r="G34" s="8" t="s">
        <v>847</v>
      </c>
      <c r="H34" s="8"/>
      <c r="I34" s="8">
        <f t="shared" si="0"/>
        <v>2</v>
      </c>
      <c r="J34" s="9" t="s">
        <v>511</v>
      </c>
    </row>
    <row r="35" spans="1:10" x14ac:dyDescent="0.25">
      <c r="A35" s="7">
        <v>33</v>
      </c>
      <c r="B35" s="8" t="s">
        <v>947</v>
      </c>
      <c r="C35" s="8" t="s">
        <v>505</v>
      </c>
      <c r="D35" s="8" t="s">
        <v>890</v>
      </c>
      <c r="E35" s="8" t="s">
        <v>507</v>
      </c>
      <c r="F35" s="8" t="s">
        <v>891</v>
      </c>
      <c r="G35" s="8" t="s">
        <v>892</v>
      </c>
      <c r="H35" s="8"/>
      <c r="I35" s="8">
        <f t="shared" si="0"/>
        <v>2</v>
      </c>
      <c r="J35" s="9" t="s">
        <v>511</v>
      </c>
    </row>
    <row r="36" spans="1:10" x14ac:dyDescent="0.25">
      <c r="A36" s="7">
        <v>34</v>
      </c>
      <c r="B36" s="8" t="s">
        <v>947</v>
      </c>
      <c r="C36" s="8" t="s">
        <v>505</v>
      </c>
      <c r="D36" s="8" t="s">
        <v>894</v>
      </c>
      <c r="E36" s="8" t="s">
        <v>507</v>
      </c>
      <c r="F36" s="8" t="s">
        <v>895</v>
      </c>
      <c r="G36" s="8" t="s">
        <v>896</v>
      </c>
      <c r="H36" s="8" t="s">
        <v>897</v>
      </c>
      <c r="I36" s="8">
        <f t="shared" si="0"/>
        <v>3</v>
      </c>
      <c r="J36" s="9" t="s">
        <v>511</v>
      </c>
    </row>
    <row r="37" spans="1:10" x14ac:dyDescent="0.25">
      <c r="A37" s="7">
        <v>35</v>
      </c>
      <c r="B37" s="8" t="s">
        <v>950</v>
      </c>
      <c r="C37" s="8" t="s">
        <v>911</v>
      </c>
      <c r="D37" s="8" t="s">
        <v>912</v>
      </c>
      <c r="E37" s="8" t="s">
        <v>913</v>
      </c>
      <c r="F37" s="8" t="s">
        <v>914</v>
      </c>
      <c r="G37" s="8"/>
      <c r="H37" s="8"/>
      <c r="I37" s="8">
        <f t="shared" si="0"/>
        <v>1</v>
      </c>
      <c r="J37" s="9" t="s">
        <v>916</v>
      </c>
    </row>
    <row r="38" spans="1:10" x14ac:dyDescent="0.25">
      <c r="A38" s="7">
        <v>36</v>
      </c>
      <c r="B38" s="8" t="s">
        <v>947</v>
      </c>
      <c r="C38" s="8" t="s">
        <v>919</v>
      </c>
      <c r="D38" s="8" t="s">
        <v>920</v>
      </c>
      <c r="E38" s="8" t="s">
        <v>921</v>
      </c>
      <c r="F38" s="8" t="s">
        <v>922</v>
      </c>
      <c r="G38" s="8" t="s">
        <v>923</v>
      </c>
      <c r="H38" s="8"/>
      <c r="I38" s="8">
        <f t="shared" si="0"/>
        <v>2</v>
      </c>
      <c r="J38" s="9" t="s">
        <v>924</v>
      </c>
    </row>
    <row r="39" spans="1:10" ht="15.75" thickBot="1" x14ac:dyDescent="0.3">
      <c r="A39" s="10">
        <v>37</v>
      </c>
      <c r="B39" s="11" t="s">
        <v>947</v>
      </c>
      <c r="C39" s="11" t="s">
        <v>919</v>
      </c>
      <c r="D39" s="11" t="s">
        <v>926</v>
      </c>
      <c r="E39" s="11" t="s">
        <v>154</v>
      </c>
      <c r="F39" s="11" t="s">
        <v>927</v>
      </c>
      <c r="G39" s="11" t="s">
        <v>928</v>
      </c>
      <c r="H39" s="11"/>
      <c r="I39" s="11">
        <f t="shared" si="0"/>
        <v>2</v>
      </c>
      <c r="J39" s="12" t="s">
        <v>924</v>
      </c>
    </row>
    <row r="40" spans="1:10" ht="15.75" thickBot="1" x14ac:dyDescent="0.3">
      <c r="I40" s="13">
        <f>SUM(I3:I39)</f>
        <v>77</v>
      </c>
    </row>
  </sheetData>
  <mergeCells count="1">
    <mergeCell ref="A1:J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74C73-007C-486F-A40C-9A44201B903C}">
  <dimension ref="A1:E77"/>
  <sheetViews>
    <sheetView topLeftCell="A9" workbookViewId="0">
      <selection activeCell="C37" sqref="C37"/>
    </sheetView>
  </sheetViews>
  <sheetFormatPr defaultRowHeight="15" x14ac:dyDescent="0.25"/>
  <cols>
    <col min="1" max="1" width="34" bestFit="1" customWidth="1"/>
    <col min="2" max="2" width="35.7109375" bestFit="1" customWidth="1"/>
    <col min="3" max="3" width="35.85546875" bestFit="1" customWidth="1"/>
    <col min="4" max="4" width="33.140625" bestFit="1" customWidth="1"/>
  </cols>
  <sheetData>
    <row r="1" spans="1:4" x14ac:dyDescent="0.25">
      <c r="A1" s="4" t="s">
        <v>940</v>
      </c>
      <c r="B1" s="4" t="s">
        <v>942</v>
      </c>
      <c r="C1" s="4" t="s">
        <v>943</v>
      </c>
      <c r="D1" s="4" t="s">
        <v>944</v>
      </c>
    </row>
    <row r="2" spans="1:4" x14ac:dyDescent="0.25">
      <c r="A2" s="8" t="s">
        <v>443</v>
      </c>
      <c r="B2" s="8" t="s">
        <v>568</v>
      </c>
      <c r="C2" s="8" t="s">
        <v>569</v>
      </c>
      <c r="D2" s="8" t="s">
        <v>570</v>
      </c>
    </row>
    <row r="3" spans="1:4" x14ac:dyDescent="0.25">
      <c r="A3" s="8"/>
      <c r="B3" s="8"/>
      <c r="C3" s="8"/>
      <c r="D3" s="8"/>
    </row>
    <row r="4" spans="1:4" x14ac:dyDescent="0.25">
      <c r="A4" s="8"/>
      <c r="B4" s="8" t="s">
        <v>322</v>
      </c>
      <c r="C4" s="8"/>
      <c r="D4" s="8"/>
    </row>
    <row r="5" spans="1:4" x14ac:dyDescent="0.25">
      <c r="A5" s="8" t="s">
        <v>635</v>
      </c>
      <c r="B5" s="8" t="s">
        <v>846</v>
      </c>
      <c r="C5" s="8" t="s">
        <v>847</v>
      </c>
      <c r="D5" s="8"/>
    </row>
    <row r="6" spans="1:4" x14ac:dyDescent="0.25">
      <c r="A6" s="8"/>
      <c r="B6" s="8"/>
      <c r="C6" s="8"/>
      <c r="D6" s="8"/>
    </row>
    <row r="7" spans="1:4" x14ac:dyDescent="0.25">
      <c r="A7" s="8" t="s">
        <v>507</v>
      </c>
      <c r="B7" s="8" t="s">
        <v>377</v>
      </c>
      <c r="C7" s="8" t="s">
        <v>378</v>
      </c>
      <c r="D7" s="8"/>
    </row>
    <row r="8" spans="1:4" x14ac:dyDescent="0.25">
      <c r="A8" s="8"/>
      <c r="B8" s="8"/>
      <c r="C8" s="8"/>
      <c r="D8" s="8"/>
    </row>
    <row r="9" spans="1:4" x14ac:dyDescent="0.25">
      <c r="A9" s="8"/>
      <c r="B9" s="8" t="s">
        <v>455</v>
      </c>
      <c r="C9" s="8" t="s">
        <v>456</v>
      </c>
      <c r="D9" s="8"/>
    </row>
    <row r="10" spans="1:4" x14ac:dyDescent="0.25">
      <c r="A10" s="8"/>
      <c r="B10" s="8" t="s">
        <v>339</v>
      </c>
      <c r="C10" s="8"/>
      <c r="D10" s="8"/>
    </row>
    <row r="11" spans="1:4" x14ac:dyDescent="0.25">
      <c r="A11" s="8"/>
      <c r="B11" s="8" t="s">
        <v>22</v>
      </c>
      <c r="C11" s="8"/>
      <c r="D11" s="8"/>
    </row>
    <row r="12" spans="1:4" x14ac:dyDescent="0.25">
      <c r="A12" s="8"/>
      <c r="B12" s="8" t="s">
        <v>891</v>
      </c>
      <c r="C12" s="8" t="s">
        <v>892</v>
      </c>
      <c r="D12" s="8"/>
    </row>
    <row r="13" spans="1:4" x14ac:dyDescent="0.25">
      <c r="A13" s="8"/>
      <c r="B13" s="8"/>
      <c r="C13" s="8"/>
      <c r="D13" s="8"/>
    </row>
    <row r="14" spans="1:4" x14ac:dyDescent="0.25">
      <c r="A14" s="8"/>
      <c r="B14" s="8" t="s">
        <v>922</v>
      </c>
      <c r="C14" s="8" t="s">
        <v>923</v>
      </c>
      <c r="D14" s="8"/>
    </row>
    <row r="15" spans="1:4" x14ac:dyDescent="0.25">
      <c r="A15" s="8"/>
      <c r="B15" s="8"/>
      <c r="C15" s="8"/>
      <c r="D15" s="8"/>
    </row>
    <row r="16" spans="1:4" x14ac:dyDescent="0.25">
      <c r="A16" s="8"/>
      <c r="B16" s="8" t="s">
        <v>161</v>
      </c>
      <c r="C16" s="8" t="s">
        <v>162</v>
      </c>
      <c r="D16" s="8" t="s">
        <v>163</v>
      </c>
    </row>
    <row r="17" spans="1:4" x14ac:dyDescent="0.25">
      <c r="A17" s="8" t="s">
        <v>376</v>
      </c>
      <c r="B17" s="8"/>
      <c r="C17" s="8"/>
      <c r="D17" s="8"/>
    </row>
    <row r="18" spans="1:4" x14ac:dyDescent="0.25">
      <c r="A18" s="8"/>
      <c r="B18" s="8" t="s">
        <v>290</v>
      </c>
      <c r="C18" s="8" t="s">
        <v>291</v>
      </c>
      <c r="D18" s="8" t="s">
        <v>292</v>
      </c>
    </row>
    <row r="19" spans="1:4" x14ac:dyDescent="0.25">
      <c r="A19" s="8"/>
      <c r="B19" s="8" t="s">
        <v>608</v>
      </c>
      <c r="C19" s="8" t="s">
        <v>609</v>
      </c>
      <c r="D19" s="8" t="s">
        <v>610</v>
      </c>
    </row>
    <row r="20" spans="1:4" x14ac:dyDescent="0.25">
      <c r="A20" s="8"/>
      <c r="B20" s="8"/>
      <c r="C20" s="8"/>
      <c r="D20" s="8"/>
    </row>
    <row r="21" spans="1:4" x14ac:dyDescent="0.25">
      <c r="A21" s="8"/>
      <c r="B21" s="8" t="s">
        <v>613</v>
      </c>
      <c r="C21" s="8" t="s">
        <v>614</v>
      </c>
      <c r="D21" s="8" t="s">
        <v>615</v>
      </c>
    </row>
    <row r="22" spans="1:4" x14ac:dyDescent="0.25">
      <c r="A22" s="8"/>
      <c r="B22" s="8"/>
      <c r="C22" s="8"/>
      <c r="D22" s="8"/>
    </row>
    <row r="23" spans="1:4" x14ac:dyDescent="0.25">
      <c r="A23" s="8"/>
      <c r="B23" s="8" t="s">
        <v>444</v>
      </c>
      <c r="C23" s="8"/>
      <c r="D23" s="8"/>
    </row>
    <row r="24" spans="1:4" x14ac:dyDescent="0.25">
      <c r="A24" s="8"/>
      <c r="B24" s="8" t="s">
        <v>400</v>
      </c>
      <c r="C24" s="8"/>
      <c r="D24" s="8"/>
    </row>
    <row r="25" spans="1:4" x14ac:dyDescent="0.25">
      <c r="A25" s="8"/>
      <c r="B25" s="8"/>
      <c r="C25" s="8"/>
      <c r="D25" s="8"/>
    </row>
    <row r="26" spans="1:4" x14ac:dyDescent="0.25">
      <c r="A26" s="8"/>
      <c r="B26" s="8" t="s">
        <v>590</v>
      </c>
      <c r="C26" s="8" t="s">
        <v>591</v>
      </c>
      <c r="D26" s="8" t="s">
        <v>592</v>
      </c>
    </row>
    <row r="27" spans="1:4" x14ac:dyDescent="0.25">
      <c r="A27" s="8"/>
      <c r="B27" s="8"/>
      <c r="C27" s="8"/>
      <c r="D27" s="8"/>
    </row>
    <row r="28" spans="1:4" x14ac:dyDescent="0.25">
      <c r="A28" s="8"/>
      <c r="B28" s="8" t="s">
        <v>670</v>
      </c>
      <c r="C28" s="8" t="s">
        <v>671</v>
      </c>
      <c r="D28" s="8" t="s">
        <v>672</v>
      </c>
    </row>
    <row r="29" spans="1:4" x14ac:dyDescent="0.25">
      <c r="A29" s="8" t="s">
        <v>655</v>
      </c>
      <c r="B29" s="8"/>
      <c r="C29" s="8"/>
      <c r="D29" s="8"/>
    </row>
    <row r="30" spans="1:4" x14ac:dyDescent="0.25">
      <c r="A30" s="8"/>
      <c r="B30" s="8" t="s">
        <v>656</v>
      </c>
      <c r="C30" s="8" t="s">
        <v>657</v>
      </c>
      <c r="D30" s="8" t="s">
        <v>658</v>
      </c>
    </row>
    <row r="31" spans="1:4" x14ac:dyDescent="0.25">
      <c r="A31" s="8"/>
      <c r="B31" s="8"/>
      <c r="C31" s="8"/>
      <c r="D31" s="8"/>
    </row>
    <row r="32" spans="1:4" x14ac:dyDescent="0.25">
      <c r="A32" s="8"/>
      <c r="B32" s="8"/>
      <c r="C32" s="8"/>
      <c r="D32" s="8"/>
    </row>
    <row r="33" spans="1:4" x14ac:dyDescent="0.25">
      <c r="A33" s="8"/>
      <c r="B33" s="8"/>
      <c r="C33" s="8"/>
      <c r="D33" s="8"/>
    </row>
    <row r="34" spans="1:4" x14ac:dyDescent="0.25">
      <c r="A34" s="8"/>
      <c r="B34" s="8" t="s">
        <v>387</v>
      </c>
      <c r="C34" s="8" t="s">
        <v>388</v>
      </c>
      <c r="D34" s="8"/>
    </row>
    <row r="35" spans="1:4" x14ac:dyDescent="0.25">
      <c r="A35" s="8"/>
      <c r="B35" s="8"/>
      <c r="C35" s="8"/>
      <c r="D35" s="8"/>
    </row>
    <row r="36" spans="1:4" x14ac:dyDescent="0.25">
      <c r="A36" s="8"/>
      <c r="B36" s="8" t="s">
        <v>600</v>
      </c>
      <c r="C36" s="8" t="s">
        <v>601</v>
      </c>
      <c r="D36" s="8"/>
    </row>
    <row r="37" spans="1:4" x14ac:dyDescent="0.25">
      <c r="A37" s="8"/>
      <c r="B37" s="8"/>
      <c r="C37" s="8"/>
      <c r="D37" s="8"/>
    </row>
    <row r="38" spans="1:4" ht="15.75" thickBot="1" x14ac:dyDescent="0.3">
      <c r="A38" s="11"/>
      <c r="B38" s="11" t="s">
        <v>514</v>
      </c>
      <c r="C38" s="11" t="s">
        <v>515</v>
      </c>
      <c r="D38" s="11"/>
    </row>
    <row r="39" spans="1:4" x14ac:dyDescent="0.25">
      <c r="A39" s="8" t="s">
        <v>45</v>
      </c>
      <c r="B39" s="8"/>
      <c r="C39" s="8"/>
      <c r="D39" s="8"/>
    </row>
    <row r="40" spans="1:4" x14ac:dyDescent="0.25">
      <c r="A40" s="8"/>
      <c r="B40" s="8" t="s">
        <v>508</v>
      </c>
      <c r="C40" s="8" t="s">
        <v>509</v>
      </c>
      <c r="D40" s="8"/>
    </row>
    <row r="41" spans="1:4" x14ac:dyDescent="0.25">
      <c r="A41" s="8"/>
      <c r="B41" s="8"/>
      <c r="C41" s="8"/>
      <c r="D41" s="8"/>
    </row>
    <row r="42" spans="1:4" x14ac:dyDescent="0.25">
      <c r="A42" s="8"/>
      <c r="B42" s="8" t="s">
        <v>595</v>
      </c>
      <c r="C42" s="8" t="s">
        <v>596</v>
      </c>
      <c r="D42" s="8" t="s">
        <v>597</v>
      </c>
    </row>
    <row r="43" spans="1:4" x14ac:dyDescent="0.25">
      <c r="A43" s="8"/>
      <c r="B43" s="8"/>
      <c r="C43" s="8"/>
      <c r="D43" s="8"/>
    </row>
    <row r="44" spans="1:4" x14ac:dyDescent="0.25">
      <c r="A44" s="8"/>
      <c r="B44" s="8" t="s">
        <v>773</v>
      </c>
      <c r="C44" s="8" t="s">
        <v>774</v>
      </c>
      <c r="D44" s="8"/>
    </row>
    <row r="45" spans="1:4" x14ac:dyDescent="0.25">
      <c r="A45" s="8" t="s">
        <v>567</v>
      </c>
      <c r="B45" s="8"/>
      <c r="C45" s="8"/>
      <c r="D45" s="8"/>
    </row>
    <row r="46" spans="1:4" x14ac:dyDescent="0.25">
      <c r="A46" s="8"/>
      <c r="B46" s="8" t="s">
        <v>622</v>
      </c>
      <c r="C46" s="8" t="s">
        <v>623</v>
      </c>
      <c r="D46" s="8"/>
    </row>
    <row r="47" spans="1:4" x14ac:dyDescent="0.25">
      <c r="A47" s="8"/>
      <c r="B47" s="8"/>
      <c r="C47" s="8"/>
      <c r="D47" s="8"/>
    </row>
    <row r="48" spans="1:4" x14ac:dyDescent="0.25">
      <c r="A48" s="8"/>
      <c r="B48" s="8" t="s">
        <v>927</v>
      </c>
      <c r="C48" s="8" t="s">
        <v>928</v>
      </c>
      <c r="D48" s="8"/>
    </row>
    <row r="49" spans="1:4" x14ac:dyDescent="0.25">
      <c r="A49" s="8"/>
      <c r="B49" s="8"/>
      <c r="C49" s="8"/>
      <c r="D49" s="8"/>
    </row>
    <row r="50" spans="1:4" x14ac:dyDescent="0.25">
      <c r="A50" s="8"/>
      <c r="B50" s="8" t="s">
        <v>604</v>
      </c>
      <c r="C50" s="8" t="s">
        <v>605</v>
      </c>
      <c r="D50" s="8"/>
    </row>
    <row r="51" spans="1:4" x14ac:dyDescent="0.25">
      <c r="A51" s="8"/>
      <c r="B51" s="8"/>
      <c r="C51" s="8"/>
      <c r="D51" s="8"/>
    </row>
    <row r="52" spans="1:4" x14ac:dyDescent="0.25">
      <c r="A52" s="8"/>
      <c r="B52" s="8" t="s">
        <v>403</v>
      </c>
      <c r="C52" s="8" t="s">
        <v>404</v>
      </c>
      <c r="D52" s="8"/>
    </row>
    <row r="53" spans="1:4" x14ac:dyDescent="0.25">
      <c r="A53" s="8"/>
      <c r="B53" s="8"/>
      <c r="C53" s="8"/>
      <c r="D53" s="8"/>
    </row>
    <row r="54" spans="1:4" x14ac:dyDescent="0.25">
      <c r="A54" s="8"/>
      <c r="B54" s="8" t="s">
        <v>618</v>
      </c>
      <c r="C54" s="8" t="s">
        <v>619</v>
      </c>
      <c r="D54" s="8"/>
    </row>
    <row r="55" spans="1:4" x14ac:dyDescent="0.25">
      <c r="A55" s="8"/>
      <c r="B55" s="8"/>
      <c r="C55" s="8"/>
      <c r="D55" s="8"/>
    </row>
    <row r="56" spans="1:4" x14ac:dyDescent="0.25">
      <c r="A56" s="8"/>
      <c r="B56" s="8" t="s">
        <v>753</v>
      </c>
      <c r="C56" s="8"/>
      <c r="D56" s="8"/>
    </row>
    <row r="57" spans="1:4" x14ac:dyDescent="0.25">
      <c r="A57" s="8"/>
      <c r="B57" s="8" t="s">
        <v>636</v>
      </c>
      <c r="C57" s="8"/>
      <c r="D57" s="8"/>
    </row>
    <row r="58" spans="1:4" x14ac:dyDescent="0.25">
      <c r="A58" s="8"/>
      <c r="B58" s="8"/>
      <c r="C58" s="8"/>
      <c r="D58" s="8"/>
    </row>
    <row r="59" spans="1:4" x14ac:dyDescent="0.25">
      <c r="A59" s="8"/>
      <c r="B59" s="8" t="s">
        <v>155</v>
      </c>
      <c r="C59" s="8"/>
      <c r="D59" s="8"/>
    </row>
    <row r="60" spans="1:4" x14ac:dyDescent="0.25">
      <c r="A60" s="8"/>
      <c r="B60" s="8"/>
      <c r="C60" s="8"/>
      <c r="D60" s="8"/>
    </row>
    <row r="61" spans="1:4" x14ac:dyDescent="0.25">
      <c r="A61" s="8" t="s">
        <v>21</v>
      </c>
      <c r="B61" s="8" t="s">
        <v>895</v>
      </c>
      <c r="C61" s="8" t="s">
        <v>896</v>
      </c>
      <c r="D61" s="8" t="s">
        <v>897</v>
      </c>
    </row>
    <row r="62" spans="1:4" x14ac:dyDescent="0.25">
      <c r="A62" s="8"/>
      <c r="B62" s="8"/>
      <c r="C62" s="8"/>
      <c r="D62" s="8"/>
    </row>
    <row r="63" spans="1:4" x14ac:dyDescent="0.25">
      <c r="A63" s="8"/>
      <c r="B63" s="8" t="s">
        <v>663</v>
      </c>
      <c r="C63" s="8" t="s">
        <v>664</v>
      </c>
      <c r="D63" s="8" t="s">
        <v>665</v>
      </c>
    </row>
    <row r="64" spans="1:4" x14ac:dyDescent="0.25">
      <c r="A64" s="8" t="s">
        <v>90</v>
      </c>
      <c r="B64" s="8"/>
      <c r="C64" s="8"/>
      <c r="D64" s="8"/>
    </row>
    <row r="65" spans="1:5" x14ac:dyDescent="0.25">
      <c r="A65" s="8"/>
      <c r="B65" s="8" t="s">
        <v>450</v>
      </c>
      <c r="C65" s="8" t="s">
        <v>451</v>
      </c>
      <c r="D65" s="8"/>
    </row>
    <row r="66" spans="1:5" x14ac:dyDescent="0.25">
      <c r="A66" s="8"/>
      <c r="B66" s="8" t="s">
        <v>383</v>
      </c>
      <c r="C66" s="8" t="s">
        <v>384</v>
      </c>
      <c r="D66" s="8"/>
    </row>
    <row r="67" spans="1:5" x14ac:dyDescent="0.25">
      <c r="A67" s="8"/>
      <c r="B67" s="8"/>
      <c r="C67" s="8"/>
      <c r="D67" s="8"/>
    </row>
    <row r="68" spans="1:5" x14ac:dyDescent="0.25">
      <c r="A68" s="8" t="s">
        <v>745</v>
      </c>
      <c r="B68" s="8" t="s">
        <v>46</v>
      </c>
      <c r="C68" s="8"/>
      <c r="D68" s="8"/>
    </row>
    <row r="69" spans="1:5" x14ac:dyDescent="0.25">
      <c r="A69" s="8" t="s">
        <v>913</v>
      </c>
      <c r="B69" s="8"/>
      <c r="C69" s="8"/>
      <c r="D69" s="8"/>
    </row>
    <row r="70" spans="1:5" x14ac:dyDescent="0.25">
      <c r="A70" s="8"/>
      <c r="B70" s="8" t="s">
        <v>696</v>
      </c>
      <c r="C70" s="8" t="s">
        <v>697</v>
      </c>
      <c r="D70" s="8" t="s">
        <v>698</v>
      </c>
    </row>
    <row r="71" spans="1:5" x14ac:dyDescent="0.25">
      <c r="A71" s="8" t="s">
        <v>154</v>
      </c>
      <c r="B71" s="8"/>
      <c r="C71" s="8"/>
      <c r="D71" s="8"/>
    </row>
    <row r="72" spans="1:5" x14ac:dyDescent="0.25">
      <c r="A72" s="8"/>
      <c r="B72" s="8" t="s">
        <v>391</v>
      </c>
      <c r="C72" s="8" t="s">
        <v>392</v>
      </c>
      <c r="D72" s="8"/>
    </row>
    <row r="73" spans="1:5" x14ac:dyDescent="0.25">
      <c r="A73" s="8"/>
      <c r="B73" s="8"/>
      <c r="C73" s="8"/>
      <c r="D73" s="8"/>
    </row>
    <row r="74" spans="1:5" x14ac:dyDescent="0.25">
      <c r="A74" s="8"/>
      <c r="B74" s="8" t="s">
        <v>295</v>
      </c>
      <c r="C74" s="8" t="s">
        <v>296</v>
      </c>
      <c r="D74" s="8" t="s">
        <v>297</v>
      </c>
    </row>
    <row r="75" spans="1:5" x14ac:dyDescent="0.25">
      <c r="A75" s="8"/>
      <c r="B75" s="8" t="s">
        <v>914</v>
      </c>
      <c r="C75" s="8"/>
      <c r="D75" s="8"/>
    </row>
    <row r="76" spans="1:5" ht="15.75" thickBot="1" x14ac:dyDescent="0.3">
      <c r="A76" s="11"/>
      <c r="B76" s="11"/>
      <c r="C76" s="11"/>
      <c r="D76" s="11"/>
    </row>
    <row r="77" spans="1:5" x14ac:dyDescent="0.25">
      <c r="A77">
        <f>COUNTA(A2:A76)</f>
        <v>12</v>
      </c>
      <c r="B77">
        <f>COUNTA(B2:B76)</f>
        <v>41</v>
      </c>
      <c r="C77">
        <f>COUNTA(C2:C76)</f>
        <v>31</v>
      </c>
      <c r="D77">
        <f>COUNTA(D2:D76)</f>
        <v>13</v>
      </c>
      <c r="E77">
        <f>SUM(A77:D77)</f>
        <v>97</v>
      </c>
    </row>
  </sheetData>
  <sortState ref="B2:D76">
    <sortCondition ref="B2"/>
  </sortState>
  <conditionalFormatting sqref="B2:D76">
    <cfRule type="uniqueValues" dxfId="0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1E83E-6364-449D-A5C9-EF57765F869A}">
  <dimension ref="A1:J23"/>
  <sheetViews>
    <sheetView workbookViewId="0">
      <selection activeCell="F33" sqref="F33"/>
    </sheetView>
  </sheetViews>
  <sheetFormatPr defaultRowHeight="15" x14ac:dyDescent="0.25"/>
  <cols>
    <col min="1" max="1" width="7.140625" bestFit="1" customWidth="1"/>
    <col min="2" max="2" width="18.140625" bestFit="1" customWidth="1"/>
    <col min="3" max="3" width="35.5703125" customWidth="1"/>
    <col min="4" max="4" width="18.5703125" bestFit="1" customWidth="1"/>
    <col min="5" max="5" width="26" bestFit="1" customWidth="1"/>
    <col min="6" max="6" width="33.42578125" bestFit="1" customWidth="1"/>
    <col min="7" max="7" width="32.28515625" bestFit="1" customWidth="1"/>
    <col min="8" max="8" width="33.140625" bestFit="1" customWidth="1"/>
    <col min="9" max="9" width="8.7109375" customWidth="1"/>
    <col min="10" max="10" width="31.42578125" bestFit="1" customWidth="1"/>
  </cols>
  <sheetData>
    <row r="1" spans="1:10" ht="21.75" thickBot="1" x14ac:dyDescent="0.4">
      <c r="A1" s="22" t="s">
        <v>953</v>
      </c>
      <c r="B1" s="23"/>
      <c r="C1" s="23"/>
      <c r="D1" s="23"/>
      <c r="E1" s="23"/>
      <c r="F1" s="23"/>
      <c r="G1" s="23"/>
      <c r="H1" s="23"/>
      <c r="I1" s="23"/>
      <c r="J1" s="24"/>
    </row>
    <row r="2" spans="1:10" ht="45" x14ac:dyDescent="0.25">
      <c r="A2" s="2" t="s">
        <v>937</v>
      </c>
      <c r="B2" s="3" t="s">
        <v>938</v>
      </c>
      <c r="C2" s="4" t="s">
        <v>939</v>
      </c>
      <c r="D2" s="4" t="s">
        <v>2</v>
      </c>
      <c r="E2" s="4" t="s">
        <v>940</v>
      </c>
      <c r="F2" s="4" t="s">
        <v>942</v>
      </c>
      <c r="G2" s="4" t="s">
        <v>943</v>
      </c>
      <c r="H2" s="4" t="s">
        <v>944</v>
      </c>
      <c r="I2" s="16" t="s">
        <v>941</v>
      </c>
      <c r="J2" s="6" t="s">
        <v>8</v>
      </c>
    </row>
    <row r="3" spans="1:10" x14ac:dyDescent="0.25">
      <c r="A3" s="7">
        <v>1</v>
      </c>
      <c r="B3" s="8" t="s">
        <v>954</v>
      </c>
      <c r="C3" s="8" t="s">
        <v>36</v>
      </c>
      <c r="D3" s="8" t="s">
        <v>37</v>
      </c>
      <c r="E3" s="8" t="s">
        <v>38</v>
      </c>
      <c r="F3" s="8" t="s">
        <v>39</v>
      </c>
      <c r="G3" s="8"/>
      <c r="H3" s="8"/>
      <c r="I3" s="8">
        <f>COUNTA(F3:H3)</f>
        <v>1</v>
      </c>
      <c r="J3" s="9" t="s">
        <v>41</v>
      </c>
    </row>
    <row r="4" spans="1:10" x14ac:dyDescent="0.25">
      <c r="A4" s="7">
        <v>2</v>
      </c>
      <c r="B4" s="8"/>
      <c r="C4" s="8" t="s">
        <v>27</v>
      </c>
      <c r="D4" s="8" t="s">
        <v>72</v>
      </c>
      <c r="E4" s="8" t="s">
        <v>73</v>
      </c>
      <c r="F4" s="8" t="s">
        <v>74</v>
      </c>
      <c r="G4" s="8" t="s">
        <v>75</v>
      </c>
      <c r="H4" s="8"/>
      <c r="I4" s="8">
        <f t="shared" ref="I4:I22" si="0">COUNTA(F4:H4)</f>
        <v>2</v>
      </c>
      <c r="J4" s="9" t="s">
        <v>76</v>
      </c>
    </row>
    <row r="5" spans="1:10" x14ac:dyDescent="0.25">
      <c r="A5" s="7">
        <v>3</v>
      </c>
      <c r="B5" s="8"/>
      <c r="C5" s="8" t="s">
        <v>27</v>
      </c>
      <c r="D5" s="8" t="s">
        <v>78</v>
      </c>
      <c r="E5" s="8" t="s">
        <v>73</v>
      </c>
      <c r="F5" s="8" t="s">
        <v>79</v>
      </c>
      <c r="G5" s="8" t="s">
        <v>80</v>
      </c>
      <c r="H5" s="8" t="s">
        <v>81</v>
      </c>
      <c r="I5" s="8">
        <f t="shared" si="0"/>
        <v>3</v>
      </c>
      <c r="J5" s="9" t="s">
        <v>76</v>
      </c>
    </row>
    <row r="6" spans="1:10" x14ac:dyDescent="0.25">
      <c r="A6" s="7">
        <v>4</v>
      </c>
      <c r="B6" s="8"/>
      <c r="C6" s="8" t="s">
        <v>125</v>
      </c>
      <c r="D6" s="8" t="s">
        <v>126</v>
      </c>
      <c r="E6" s="8" t="s">
        <v>115</v>
      </c>
      <c r="F6" s="8" t="s">
        <v>116</v>
      </c>
      <c r="G6" s="8" t="s">
        <v>127</v>
      </c>
      <c r="H6" s="8" t="s">
        <v>128</v>
      </c>
      <c r="I6" s="8">
        <f t="shared" si="0"/>
        <v>3</v>
      </c>
      <c r="J6" s="9" t="s">
        <v>119</v>
      </c>
    </row>
    <row r="7" spans="1:10" x14ac:dyDescent="0.25">
      <c r="A7" s="7">
        <v>5</v>
      </c>
      <c r="B7" s="8"/>
      <c r="C7" s="8" t="s">
        <v>136</v>
      </c>
      <c r="D7" s="8" t="s">
        <v>137</v>
      </c>
      <c r="E7" s="8" t="s">
        <v>138</v>
      </c>
      <c r="F7" s="8" t="s">
        <v>139</v>
      </c>
      <c r="G7" s="8" t="s">
        <v>140</v>
      </c>
      <c r="H7" s="8"/>
      <c r="I7" s="8">
        <f t="shared" si="0"/>
        <v>2</v>
      </c>
      <c r="J7" s="9" t="s">
        <v>142</v>
      </c>
    </row>
    <row r="8" spans="1:10" x14ac:dyDescent="0.25">
      <c r="A8" s="7">
        <v>6</v>
      </c>
      <c r="B8" s="8" t="s">
        <v>955</v>
      </c>
      <c r="C8" s="8" t="s">
        <v>253</v>
      </c>
      <c r="D8" s="8" t="s">
        <v>254</v>
      </c>
      <c r="E8" s="8" t="s">
        <v>255</v>
      </c>
      <c r="F8" s="8" t="s">
        <v>256</v>
      </c>
      <c r="G8" s="8" t="s">
        <v>257</v>
      </c>
      <c r="H8" s="8" t="s">
        <v>258</v>
      </c>
      <c r="I8" s="8">
        <f t="shared" si="0"/>
        <v>3</v>
      </c>
      <c r="J8" s="9" t="s">
        <v>260</v>
      </c>
    </row>
    <row r="9" spans="1:10" x14ac:dyDescent="0.25">
      <c r="A9" s="7">
        <v>7</v>
      </c>
      <c r="B9" s="8" t="s">
        <v>955</v>
      </c>
      <c r="C9" s="8" t="s">
        <v>276</v>
      </c>
      <c r="D9" s="8" t="s">
        <v>277</v>
      </c>
      <c r="E9" s="8" t="s">
        <v>278</v>
      </c>
      <c r="F9" s="8" t="s">
        <v>279</v>
      </c>
      <c r="G9" s="8" t="s">
        <v>280</v>
      </c>
      <c r="H9" s="8" t="s">
        <v>281</v>
      </c>
      <c r="I9" s="8">
        <f t="shared" si="0"/>
        <v>3</v>
      </c>
      <c r="J9" s="9" t="s">
        <v>283</v>
      </c>
    </row>
    <row r="10" spans="1:10" x14ac:dyDescent="0.25">
      <c r="A10" s="7">
        <v>8</v>
      </c>
      <c r="B10" s="8"/>
      <c r="C10" s="8" t="s">
        <v>144</v>
      </c>
      <c r="D10" s="8" t="s">
        <v>299</v>
      </c>
      <c r="E10" s="8" t="s">
        <v>300</v>
      </c>
      <c r="F10" s="8" t="s">
        <v>301</v>
      </c>
      <c r="G10" s="8" t="s">
        <v>302</v>
      </c>
      <c r="H10" s="8" t="s">
        <v>303</v>
      </c>
      <c r="I10" s="8">
        <f t="shared" si="0"/>
        <v>3</v>
      </c>
      <c r="J10" s="9" t="s">
        <v>305</v>
      </c>
    </row>
    <row r="11" spans="1:10" x14ac:dyDescent="0.25">
      <c r="A11" s="7">
        <v>9</v>
      </c>
      <c r="B11" s="8" t="s">
        <v>956</v>
      </c>
      <c r="C11" s="8" t="s">
        <v>136</v>
      </c>
      <c r="D11" s="8" t="s">
        <v>464</v>
      </c>
      <c r="E11" s="8" t="s">
        <v>60</v>
      </c>
      <c r="F11" s="8" t="s">
        <v>465</v>
      </c>
      <c r="G11" s="8"/>
      <c r="H11" s="8"/>
      <c r="I11" s="8">
        <f t="shared" si="0"/>
        <v>1</v>
      </c>
      <c r="J11" s="9" t="s">
        <v>467</v>
      </c>
    </row>
    <row r="12" spans="1:10" x14ac:dyDescent="0.25">
      <c r="A12" s="7">
        <v>10</v>
      </c>
      <c r="B12" s="8" t="s">
        <v>957</v>
      </c>
      <c r="C12" s="8" t="s">
        <v>496</v>
      </c>
      <c r="D12" s="8" t="s">
        <v>497</v>
      </c>
      <c r="E12" s="8" t="s">
        <v>498</v>
      </c>
      <c r="F12" s="8" t="s">
        <v>499</v>
      </c>
      <c r="G12" s="8" t="s">
        <v>500</v>
      </c>
      <c r="H12" s="8" t="s">
        <v>501</v>
      </c>
      <c r="I12" s="8">
        <f t="shared" si="0"/>
        <v>3</v>
      </c>
      <c r="J12" s="9" t="s">
        <v>503</v>
      </c>
    </row>
    <row r="13" spans="1:10" x14ac:dyDescent="0.25">
      <c r="A13" s="7">
        <v>11</v>
      </c>
      <c r="B13" s="8" t="s">
        <v>955</v>
      </c>
      <c r="C13" s="8" t="s">
        <v>640</v>
      </c>
      <c r="D13" s="8" t="s">
        <v>641</v>
      </c>
      <c r="E13" s="8" t="s">
        <v>642</v>
      </c>
      <c r="F13" s="8" t="s">
        <v>643</v>
      </c>
      <c r="G13" s="8"/>
      <c r="H13" s="8"/>
      <c r="I13" s="8">
        <f t="shared" si="0"/>
        <v>1</v>
      </c>
      <c r="J13" s="9" t="s">
        <v>645</v>
      </c>
    </row>
    <row r="14" spans="1:10" x14ac:dyDescent="0.25">
      <c r="A14" s="7">
        <v>12</v>
      </c>
      <c r="B14" s="8" t="s">
        <v>955</v>
      </c>
      <c r="C14" s="8" t="s">
        <v>653</v>
      </c>
      <c r="D14" s="8" t="s">
        <v>677</v>
      </c>
      <c r="E14" s="8" t="s">
        <v>655</v>
      </c>
      <c r="F14" s="8" t="s">
        <v>678</v>
      </c>
      <c r="G14" s="8" t="s">
        <v>679</v>
      </c>
      <c r="H14" s="8" t="s">
        <v>680</v>
      </c>
      <c r="I14" s="8">
        <f t="shared" si="0"/>
        <v>3</v>
      </c>
      <c r="J14" s="9" t="s">
        <v>660</v>
      </c>
    </row>
    <row r="15" spans="1:10" x14ac:dyDescent="0.25">
      <c r="A15" s="7">
        <v>13</v>
      </c>
      <c r="B15" s="8" t="s">
        <v>955</v>
      </c>
      <c r="C15" s="8" t="s">
        <v>653</v>
      </c>
      <c r="D15" s="8" t="s">
        <v>695</v>
      </c>
      <c r="E15" s="8" t="s">
        <v>655</v>
      </c>
      <c r="F15" s="8" t="s">
        <v>696</v>
      </c>
      <c r="G15" s="8" t="s">
        <v>697</v>
      </c>
      <c r="H15" s="8" t="s">
        <v>698</v>
      </c>
      <c r="I15" s="8">
        <f t="shared" si="0"/>
        <v>3</v>
      </c>
      <c r="J15" s="9" t="s">
        <v>660</v>
      </c>
    </row>
    <row r="16" spans="1:10" x14ac:dyDescent="0.25">
      <c r="A16" s="7">
        <v>14</v>
      </c>
      <c r="B16" s="8" t="s">
        <v>958</v>
      </c>
      <c r="C16" s="8" t="s">
        <v>27</v>
      </c>
      <c r="D16" s="8" t="s">
        <v>724</v>
      </c>
      <c r="E16" s="8" t="s">
        <v>73</v>
      </c>
      <c r="F16" s="8" t="s">
        <v>725</v>
      </c>
      <c r="G16" s="8" t="s">
        <v>726</v>
      </c>
      <c r="H16" s="8" t="s">
        <v>727</v>
      </c>
      <c r="I16" s="8">
        <f t="shared" si="0"/>
        <v>3</v>
      </c>
      <c r="J16" s="9" t="s">
        <v>729</v>
      </c>
    </row>
    <row r="17" spans="1:10" x14ac:dyDescent="0.25">
      <c r="A17" s="7">
        <v>15</v>
      </c>
      <c r="B17" s="8" t="s">
        <v>990</v>
      </c>
      <c r="C17" s="8" t="s">
        <v>761</v>
      </c>
      <c r="D17" s="8" t="s">
        <v>761</v>
      </c>
      <c r="E17" s="8" t="s">
        <v>762</v>
      </c>
      <c r="F17" s="8" t="s">
        <v>418</v>
      </c>
      <c r="G17" s="8"/>
      <c r="H17" s="8"/>
      <c r="I17" s="8">
        <f t="shared" si="0"/>
        <v>1</v>
      </c>
      <c r="J17" s="9" t="s">
        <v>764</v>
      </c>
    </row>
    <row r="18" spans="1:10" x14ac:dyDescent="0.25">
      <c r="A18" s="7">
        <v>16</v>
      </c>
      <c r="B18" s="8"/>
      <c r="C18" s="8" t="s">
        <v>792</v>
      </c>
      <c r="D18" s="8" t="s">
        <v>793</v>
      </c>
      <c r="E18" s="8" t="s">
        <v>73</v>
      </c>
      <c r="F18" s="8" t="s">
        <v>492</v>
      </c>
      <c r="G18" s="8" t="s">
        <v>794</v>
      </c>
      <c r="H18" s="8"/>
      <c r="I18" s="8">
        <f t="shared" si="0"/>
        <v>2</v>
      </c>
      <c r="J18" s="9" t="s">
        <v>796</v>
      </c>
    </row>
    <row r="19" spans="1:10" x14ac:dyDescent="0.25">
      <c r="A19" s="7">
        <v>17</v>
      </c>
      <c r="B19" s="8"/>
      <c r="C19" s="8" t="s">
        <v>27</v>
      </c>
      <c r="D19" s="8" t="s">
        <v>798</v>
      </c>
      <c r="E19" s="8" t="s">
        <v>60</v>
      </c>
      <c r="F19" s="8" t="s">
        <v>799</v>
      </c>
      <c r="G19" s="8" t="s">
        <v>800</v>
      </c>
      <c r="H19" s="8"/>
      <c r="I19" s="8">
        <f t="shared" si="0"/>
        <v>2</v>
      </c>
      <c r="J19" s="9" t="s">
        <v>802</v>
      </c>
    </row>
    <row r="20" spans="1:10" x14ac:dyDescent="0.25">
      <c r="A20" s="7">
        <v>18</v>
      </c>
      <c r="B20" s="8"/>
      <c r="C20" s="8" t="s">
        <v>634</v>
      </c>
      <c r="D20" s="8" t="s">
        <v>815</v>
      </c>
      <c r="E20" s="8" t="s">
        <v>635</v>
      </c>
      <c r="F20" s="8" t="s">
        <v>816</v>
      </c>
      <c r="G20" s="8" t="s">
        <v>817</v>
      </c>
      <c r="H20" s="8"/>
      <c r="I20" s="8">
        <f t="shared" si="0"/>
        <v>2</v>
      </c>
      <c r="J20" s="9" t="s">
        <v>638</v>
      </c>
    </row>
    <row r="21" spans="1:10" x14ac:dyDescent="0.25">
      <c r="A21" s="7">
        <v>19</v>
      </c>
      <c r="B21" s="8" t="s">
        <v>957</v>
      </c>
      <c r="C21" s="8" t="s">
        <v>700</v>
      </c>
      <c r="D21" s="8" t="s">
        <v>701</v>
      </c>
      <c r="E21" s="8" t="s">
        <v>702</v>
      </c>
      <c r="F21" s="8" t="s">
        <v>704</v>
      </c>
      <c r="G21" s="8" t="s">
        <v>828</v>
      </c>
      <c r="H21" s="8"/>
      <c r="I21" s="8">
        <f t="shared" si="0"/>
        <v>2</v>
      </c>
      <c r="J21" s="9" t="s">
        <v>706</v>
      </c>
    </row>
    <row r="22" spans="1:10" ht="15.75" thickBot="1" x14ac:dyDescent="0.3">
      <c r="A22" s="10">
        <v>20</v>
      </c>
      <c r="B22" s="11" t="s">
        <v>955</v>
      </c>
      <c r="C22" s="11" t="s">
        <v>883</v>
      </c>
      <c r="D22" s="11" t="s">
        <v>884</v>
      </c>
      <c r="E22" s="11" t="s">
        <v>498</v>
      </c>
      <c r="F22" s="11" t="s">
        <v>885</v>
      </c>
      <c r="G22" s="11" t="s">
        <v>886</v>
      </c>
      <c r="H22" s="11"/>
      <c r="I22" s="11">
        <f t="shared" si="0"/>
        <v>2</v>
      </c>
      <c r="J22" s="12" t="s">
        <v>888</v>
      </c>
    </row>
    <row r="23" spans="1:10" ht="15.75" thickBot="1" x14ac:dyDescent="0.3">
      <c r="I23" s="14">
        <f>SUM(I3:I22)</f>
        <v>45</v>
      </c>
    </row>
  </sheetData>
  <mergeCells count="1">
    <mergeCell ref="A1:J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CA36C-5713-4553-8A98-B918C7F937C6}">
  <dimension ref="A1:J15"/>
  <sheetViews>
    <sheetView workbookViewId="0">
      <selection activeCell="I3" sqref="I3"/>
    </sheetView>
  </sheetViews>
  <sheetFormatPr defaultRowHeight="15" x14ac:dyDescent="0.25"/>
  <cols>
    <col min="2" max="2" width="16.28515625" bestFit="1" customWidth="1"/>
    <col min="3" max="3" width="50.85546875" customWidth="1"/>
    <col min="4" max="4" width="18.5703125" bestFit="1" customWidth="1"/>
    <col min="5" max="5" width="34" bestFit="1" customWidth="1"/>
    <col min="6" max="6" width="31" bestFit="1" customWidth="1"/>
    <col min="7" max="7" width="31.7109375" bestFit="1" customWidth="1"/>
    <col min="8" max="8" width="33.140625" bestFit="1" customWidth="1"/>
    <col min="9" max="9" width="9" customWidth="1"/>
    <col min="10" max="10" width="31.42578125" bestFit="1" customWidth="1"/>
  </cols>
  <sheetData>
    <row r="1" spans="1:10" ht="21.75" thickBot="1" x14ac:dyDescent="0.4">
      <c r="A1" s="22" t="s">
        <v>960</v>
      </c>
      <c r="B1" s="23"/>
      <c r="C1" s="23"/>
      <c r="D1" s="23"/>
      <c r="E1" s="23"/>
      <c r="F1" s="23"/>
      <c r="G1" s="23"/>
      <c r="H1" s="23"/>
      <c r="I1" s="23"/>
      <c r="J1" s="24"/>
    </row>
    <row r="2" spans="1:10" ht="30" x14ac:dyDescent="0.25">
      <c r="A2" s="2" t="s">
        <v>937</v>
      </c>
      <c r="B2" s="3" t="s">
        <v>938</v>
      </c>
      <c r="C2" s="4" t="s">
        <v>939</v>
      </c>
      <c r="D2" s="4" t="s">
        <v>2</v>
      </c>
      <c r="E2" s="4" t="s">
        <v>940</v>
      </c>
      <c r="F2" s="4" t="s">
        <v>942</v>
      </c>
      <c r="G2" s="4" t="s">
        <v>943</v>
      </c>
      <c r="H2" s="4" t="s">
        <v>944</v>
      </c>
      <c r="I2" s="16" t="s">
        <v>941</v>
      </c>
      <c r="J2" s="6" t="s">
        <v>8</v>
      </c>
    </row>
    <row r="3" spans="1:10" x14ac:dyDescent="0.25">
      <c r="A3" s="7">
        <v>1</v>
      </c>
      <c r="B3" s="8"/>
      <c r="C3" s="8" t="s">
        <v>121</v>
      </c>
      <c r="D3" s="8" t="s">
        <v>122</v>
      </c>
      <c r="E3" s="8" t="s">
        <v>115</v>
      </c>
      <c r="F3" s="8" t="s">
        <v>115</v>
      </c>
      <c r="G3" s="8" t="s">
        <v>117</v>
      </c>
      <c r="H3" s="8" t="s">
        <v>123</v>
      </c>
      <c r="I3" s="8">
        <f>COUNTA(F3:H3)</f>
        <v>3</v>
      </c>
      <c r="J3" s="9" t="s">
        <v>119</v>
      </c>
    </row>
    <row r="4" spans="1:10" x14ac:dyDescent="0.25">
      <c r="A4" s="7">
        <v>2</v>
      </c>
      <c r="B4" s="8" t="s">
        <v>961</v>
      </c>
      <c r="C4" s="8" t="s">
        <v>253</v>
      </c>
      <c r="D4" s="8" t="s">
        <v>254</v>
      </c>
      <c r="E4" s="8" t="s">
        <v>255</v>
      </c>
      <c r="F4" s="8" t="s">
        <v>256</v>
      </c>
      <c r="G4" s="8" t="s">
        <v>257</v>
      </c>
      <c r="H4" s="8" t="s">
        <v>258</v>
      </c>
      <c r="I4" s="8">
        <f t="shared" ref="I4:I14" si="0">COUNTA(F4:H4)</f>
        <v>3</v>
      </c>
      <c r="J4" s="9" t="s">
        <v>260</v>
      </c>
    </row>
    <row r="5" spans="1:10" x14ac:dyDescent="0.25">
      <c r="A5" s="7">
        <v>3</v>
      </c>
      <c r="B5" s="8" t="s">
        <v>961</v>
      </c>
      <c r="C5" s="8" t="s">
        <v>276</v>
      </c>
      <c r="D5" s="8" t="s">
        <v>277</v>
      </c>
      <c r="E5" s="8" t="s">
        <v>278</v>
      </c>
      <c r="F5" s="8" t="s">
        <v>279</v>
      </c>
      <c r="G5" s="8" t="s">
        <v>280</v>
      </c>
      <c r="H5" s="8" t="s">
        <v>281</v>
      </c>
      <c r="I5" s="8">
        <f t="shared" si="0"/>
        <v>3</v>
      </c>
      <c r="J5" s="9" t="s">
        <v>283</v>
      </c>
    </row>
    <row r="6" spans="1:10" x14ac:dyDescent="0.25">
      <c r="A6" s="7">
        <v>4</v>
      </c>
      <c r="B6" s="8" t="s">
        <v>962</v>
      </c>
      <c r="C6" s="8" t="s">
        <v>434</v>
      </c>
      <c r="D6" s="8" t="s">
        <v>435</v>
      </c>
      <c r="E6" s="8" t="s">
        <v>60</v>
      </c>
      <c r="F6" s="8" t="s">
        <v>436</v>
      </c>
      <c r="G6" s="8" t="s">
        <v>437</v>
      </c>
      <c r="H6" s="8"/>
      <c r="I6" s="8">
        <f t="shared" si="0"/>
        <v>2</v>
      </c>
      <c r="J6" s="9" t="s">
        <v>439</v>
      </c>
    </row>
    <row r="7" spans="1:10" x14ac:dyDescent="0.25">
      <c r="A7" s="7">
        <v>5</v>
      </c>
      <c r="B7" s="8" t="s">
        <v>963</v>
      </c>
      <c r="C7" s="8" t="s">
        <v>136</v>
      </c>
      <c r="D7" s="8" t="s">
        <v>464</v>
      </c>
      <c r="E7" s="8" t="s">
        <v>60</v>
      </c>
      <c r="F7" s="8" t="s">
        <v>465</v>
      </c>
      <c r="G7" s="8"/>
      <c r="H7" s="8"/>
      <c r="I7" s="8">
        <f t="shared" si="0"/>
        <v>1</v>
      </c>
      <c r="J7" s="9" t="s">
        <v>467</v>
      </c>
    </row>
    <row r="8" spans="1:10" x14ac:dyDescent="0.25">
      <c r="A8" s="7">
        <v>6</v>
      </c>
      <c r="B8" s="8" t="s">
        <v>964</v>
      </c>
      <c r="C8" s="8" t="s">
        <v>496</v>
      </c>
      <c r="D8" s="8" t="s">
        <v>497</v>
      </c>
      <c r="E8" s="8" t="s">
        <v>498</v>
      </c>
      <c r="F8" s="8" t="s">
        <v>499</v>
      </c>
      <c r="G8" s="8" t="s">
        <v>500</v>
      </c>
      <c r="H8" s="8" t="s">
        <v>501</v>
      </c>
      <c r="I8" s="8">
        <f t="shared" si="0"/>
        <v>3</v>
      </c>
      <c r="J8" s="9" t="s">
        <v>503</v>
      </c>
    </row>
    <row r="9" spans="1:10" x14ac:dyDescent="0.25">
      <c r="A9" s="7">
        <v>7</v>
      </c>
      <c r="B9" s="8" t="s">
        <v>961</v>
      </c>
      <c r="C9" s="8" t="s">
        <v>640</v>
      </c>
      <c r="D9" s="8" t="s">
        <v>641</v>
      </c>
      <c r="E9" s="8" t="s">
        <v>642</v>
      </c>
      <c r="F9" s="8" t="s">
        <v>643</v>
      </c>
      <c r="G9" s="8"/>
      <c r="H9" s="8"/>
      <c r="I9" s="8">
        <f t="shared" si="0"/>
        <v>1</v>
      </c>
      <c r="J9" s="9" t="s">
        <v>645</v>
      </c>
    </row>
    <row r="10" spans="1:10" x14ac:dyDescent="0.25">
      <c r="A10" s="7">
        <v>8</v>
      </c>
      <c r="B10" s="8" t="s">
        <v>961</v>
      </c>
      <c r="C10" s="8" t="s">
        <v>653</v>
      </c>
      <c r="D10" s="8" t="s">
        <v>677</v>
      </c>
      <c r="E10" s="8" t="s">
        <v>655</v>
      </c>
      <c r="F10" s="8" t="s">
        <v>678</v>
      </c>
      <c r="G10" s="8" t="s">
        <v>679</v>
      </c>
      <c r="H10" s="8" t="s">
        <v>680</v>
      </c>
      <c r="I10" s="8">
        <f t="shared" si="0"/>
        <v>3</v>
      </c>
      <c r="J10" s="9" t="s">
        <v>660</v>
      </c>
    </row>
    <row r="11" spans="1:10" x14ac:dyDescent="0.25">
      <c r="A11" s="7">
        <v>9</v>
      </c>
      <c r="B11" s="8" t="s">
        <v>965</v>
      </c>
      <c r="C11" s="8" t="s">
        <v>653</v>
      </c>
      <c r="D11" s="8" t="s">
        <v>695</v>
      </c>
      <c r="E11" s="8" t="s">
        <v>655</v>
      </c>
      <c r="F11" s="8" t="s">
        <v>696</v>
      </c>
      <c r="G11" s="8" t="s">
        <v>697</v>
      </c>
      <c r="H11" s="8" t="s">
        <v>698</v>
      </c>
      <c r="I11" s="8">
        <f t="shared" si="0"/>
        <v>3</v>
      </c>
      <c r="J11" s="9" t="s">
        <v>660</v>
      </c>
    </row>
    <row r="12" spans="1:10" x14ac:dyDescent="0.25">
      <c r="A12" s="7">
        <v>10</v>
      </c>
      <c r="B12" s="8" t="s">
        <v>963</v>
      </c>
      <c r="C12" s="8" t="s">
        <v>700</v>
      </c>
      <c r="D12" s="8" t="s">
        <v>701</v>
      </c>
      <c r="E12" s="8" t="s">
        <v>702</v>
      </c>
      <c r="F12" s="8" t="s">
        <v>703</v>
      </c>
      <c r="G12" s="8" t="s">
        <v>704</v>
      </c>
      <c r="H12" s="8"/>
      <c r="I12" s="8">
        <f t="shared" si="0"/>
        <v>2</v>
      </c>
      <c r="J12" s="9" t="s">
        <v>706</v>
      </c>
    </row>
    <row r="13" spans="1:10" x14ac:dyDescent="0.25">
      <c r="A13" s="7">
        <v>11</v>
      </c>
      <c r="B13" s="8" t="s">
        <v>966</v>
      </c>
      <c r="C13" s="8" t="s">
        <v>27</v>
      </c>
      <c r="D13" s="8" t="s">
        <v>724</v>
      </c>
      <c r="E13" s="8" t="s">
        <v>73</v>
      </c>
      <c r="F13" s="8" t="s">
        <v>725</v>
      </c>
      <c r="G13" s="8" t="s">
        <v>726</v>
      </c>
      <c r="H13" s="8" t="s">
        <v>727</v>
      </c>
      <c r="I13" s="8">
        <f t="shared" si="0"/>
        <v>3</v>
      </c>
      <c r="J13" s="9" t="s">
        <v>729</v>
      </c>
    </row>
    <row r="14" spans="1:10" ht="15.75" thickBot="1" x14ac:dyDescent="0.3">
      <c r="A14" s="10">
        <v>12</v>
      </c>
      <c r="B14" s="11" t="s">
        <v>961</v>
      </c>
      <c r="C14" s="11" t="s">
        <v>883</v>
      </c>
      <c r="D14" s="11" t="s">
        <v>884</v>
      </c>
      <c r="E14" s="11" t="s">
        <v>498</v>
      </c>
      <c r="F14" s="11" t="s">
        <v>885</v>
      </c>
      <c r="G14" s="11" t="s">
        <v>886</v>
      </c>
      <c r="H14" s="11"/>
      <c r="I14" s="11">
        <f t="shared" si="0"/>
        <v>2</v>
      </c>
      <c r="J14" s="12" t="s">
        <v>888</v>
      </c>
    </row>
    <row r="15" spans="1:10" ht="15.75" thickBot="1" x14ac:dyDescent="0.3">
      <c r="I15" s="14">
        <f>SUM(I3:I14)</f>
        <v>29</v>
      </c>
    </row>
  </sheetData>
  <mergeCells count="1">
    <mergeCell ref="A1:J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A8C06-87AF-4CE8-B6F8-BDF2445ECF45}">
  <dimension ref="A1:J23"/>
  <sheetViews>
    <sheetView workbookViewId="0">
      <selection activeCell="C27" sqref="C27"/>
    </sheetView>
  </sheetViews>
  <sheetFormatPr defaultRowHeight="15" x14ac:dyDescent="0.25"/>
  <cols>
    <col min="1" max="1" width="7.140625" bestFit="1" customWidth="1"/>
    <col min="2" max="2" width="18" bestFit="1" customWidth="1"/>
    <col min="3" max="3" width="43.85546875" customWidth="1"/>
    <col min="4" max="4" width="18.5703125" bestFit="1" customWidth="1"/>
    <col min="5" max="5" width="34" bestFit="1" customWidth="1"/>
    <col min="6" max="6" width="33.42578125" bestFit="1" customWidth="1"/>
    <col min="7" max="7" width="32.7109375" bestFit="1" customWidth="1"/>
    <col min="8" max="8" width="31.7109375" bestFit="1" customWidth="1"/>
    <col min="9" max="9" width="9" bestFit="1" customWidth="1"/>
    <col min="10" max="10" width="31.42578125" bestFit="1" customWidth="1"/>
  </cols>
  <sheetData>
    <row r="1" spans="1:10" ht="21.75" thickBot="1" x14ac:dyDescent="0.4">
      <c r="A1" s="22" t="s">
        <v>967</v>
      </c>
      <c r="B1" s="23"/>
      <c r="C1" s="23"/>
      <c r="D1" s="23"/>
      <c r="E1" s="23"/>
      <c r="F1" s="23"/>
      <c r="G1" s="23"/>
      <c r="H1" s="23"/>
      <c r="I1" s="23"/>
      <c r="J1" s="24"/>
    </row>
    <row r="2" spans="1:10" ht="30" x14ac:dyDescent="0.25">
      <c r="A2" s="2" t="s">
        <v>937</v>
      </c>
      <c r="B2" s="3" t="s">
        <v>938</v>
      </c>
      <c r="C2" s="4" t="s">
        <v>939</v>
      </c>
      <c r="D2" s="4" t="s">
        <v>2</v>
      </c>
      <c r="E2" s="4" t="s">
        <v>940</v>
      </c>
      <c r="F2" s="4" t="s">
        <v>942</v>
      </c>
      <c r="G2" s="4" t="s">
        <v>943</v>
      </c>
      <c r="H2" s="4" t="s">
        <v>944</v>
      </c>
      <c r="I2" s="16" t="s">
        <v>941</v>
      </c>
      <c r="J2" s="6" t="s">
        <v>8</v>
      </c>
    </row>
    <row r="3" spans="1:10" x14ac:dyDescent="0.25">
      <c r="A3" s="7">
        <v>1</v>
      </c>
      <c r="B3" s="8" t="s">
        <v>961</v>
      </c>
      <c r="C3" s="8" t="s">
        <v>36</v>
      </c>
      <c r="D3" s="8" t="s">
        <v>37</v>
      </c>
      <c r="E3" s="8" t="s">
        <v>38</v>
      </c>
      <c r="F3" s="8" t="s">
        <v>39</v>
      </c>
      <c r="G3" s="8"/>
      <c r="H3" s="8"/>
      <c r="I3" s="8">
        <f>COUNTA(F3:H3)</f>
        <v>1</v>
      </c>
      <c r="J3" s="9" t="s">
        <v>41</v>
      </c>
    </row>
    <row r="4" spans="1:10" x14ac:dyDescent="0.25">
      <c r="A4" s="7">
        <v>2</v>
      </c>
      <c r="B4" s="8"/>
      <c r="C4" s="8" t="s">
        <v>50</v>
      </c>
      <c r="D4" s="8" t="s">
        <v>51</v>
      </c>
      <c r="E4" s="8" t="s">
        <v>52</v>
      </c>
      <c r="F4" s="8" t="s">
        <v>53</v>
      </c>
      <c r="G4" s="8" t="s">
        <v>54</v>
      </c>
      <c r="H4" s="8" t="s">
        <v>55</v>
      </c>
      <c r="I4" s="8">
        <f t="shared" ref="I4:I22" si="0">COUNTA(F4:H4)</f>
        <v>3</v>
      </c>
      <c r="J4" s="9" t="s">
        <v>57</v>
      </c>
    </row>
    <row r="5" spans="1:10" x14ac:dyDescent="0.25">
      <c r="A5" s="7">
        <v>3</v>
      </c>
      <c r="B5" s="8"/>
      <c r="C5" s="8" t="s">
        <v>65</v>
      </c>
      <c r="D5" s="8" t="s">
        <v>66</v>
      </c>
      <c r="E5" s="8" t="s">
        <v>67</v>
      </c>
      <c r="F5" s="8" t="s">
        <v>67</v>
      </c>
      <c r="G5" s="8" t="s">
        <v>68</v>
      </c>
      <c r="H5" s="8"/>
      <c r="I5" s="8">
        <f t="shared" si="0"/>
        <v>2</v>
      </c>
      <c r="J5" s="9" t="s">
        <v>70</v>
      </c>
    </row>
    <row r="6" spans="1:10" x14ac:dyDescent="0.25">
      <c r="A6" s="7">
        <v>4</v>
      </c>
      <c r="B6" s="8"/>
      <c r="C6" s="8" t="s">
        <v>112</v>
      </c>
      <c r="D6" s="8" t="s">
        <v>113</v>
      </c>
      <c r="E6" s="8" t="s">
        <v>114</v>
      </c>
      <c r="F6" s="8" t="s">
        <v>115</v>
      </c>
      <c r="G6" s="8" t="s">
        <v>116</v>
      </c>
      <c r="H6" s="8" t="s">
        <v>117</v>
      </c>
      <c r="I6" s="8">
        <f t="shared" si="0"/>
        <v>3</v>
      </c>
      <c r="J6" s="9" t="s">
        <v>119</v>
      </c>
    </row>
    <row r="7" spans="1:10" x14ac:dyDescent="0.25">
      <c r="A7" s="7">
        <v>5</v>
      </c>
      <c r="B7" s="8" t="s">
        <v>968</v>
      </c>
      <c r="C7" s="8" t="s">
        <v>130</v>
      </c>
      <c r="D7" s="8" t="s">
        <v>131</v>
      </c>
      <c r="E7" s="8" t="s">
        <v>132</v>
      </c>
      <c r="F7" s="8" t="s">
        <v>132</v>
      </c>
      <c r="G7" s="8"/>
      <c r="H7" s="8"/>
      <c r="I7" s="8">
        <f t="shared" si="0"/>
        <v>1</v>
      </c>
      <c r="J7" s="9" t="s">
        <v>134</v>
      </c>
    </row>
    <row r="8" spans="1:10" x14ac:dyDescent="0.25">
      <c r="A8" s="7">
        <v>6</v>
      </c>
      <c r="B8" s="8"/>
      <c r="C8" s="8" t="s">
        <v>165</v>
      </c>
      <c r="D8" s="8" t="s">
        <v>166</v>
      </c>
      <c r="E8" s="8" t="s">
        <v>167</v>
      </c>
      <c r="F8" s="8" t="s">
        <v>167</v>
      </c>
      <c r="G8" s="8"/>
      <c r="H8" s="8"/>
      <c r="I8" s="8">
        <f t="shared" si="0"/>
        <v>1</v>
      </c>
      <c r="J8" s="9" t="s">
        <v>169</v>
      </c>
    </row>
    <row r="9" spans="1:10" x14ac:dyDescent="0.25">
      <c r="A9" s="7">
        <v>7</v>
      </c>
      <c r="B9" s="8"/>
      <c r="C9" s="8" t="s">
        <v>171</v>
      </c>
      <c r="D9" s="8" t="s">
        <v>172</v>
      </c>
      <c r="E9" s="8" t="s">
        <v>173</v>
      </c>
      <c r="F9" s="8" t="s">
        <v>174</v>
      </c>
      <c r="G9" s="8"/>
      <c r="H9" s="8"/>
      <c r="I9" s="8">
        <f t="shared" si="0"/>
        <v>1</v>
      </c>
      <c r="J9" s="9" t="s">
        <v>176</v>
      </c>
    </row>
    <row r="10" spans="1:10" x14ac:dyDescent="0.25">
      <c r="A10" s="7">
        <v>8</v>
      </c>
      <c r="B10" s="8"/>
      <c r="C10" s="8" t="s">
        <v>178</v>
      </c>
      <c r="D10" s="8" t="s">
        <v>179</v>
      </c>
      <c r="E10" s="8" t="s">
        <v>180</v>
      </c>
      <c r="F10" s="8" t="s">
        <v>173</v>
      </c>
      <c r="G10" s="8"/>
      <c r="H10" s="8"/>
      <c r="I10" s="8">
        <f t="shared" si="0"/>
        <v>1</v>
      </c>
      <c r="J10" s="9" t="s">
        <v>182</v>
      </c>
    </row>
    <row r="11" spans="1:10" x14ac:dyDescent="0.25">
      <c r="A11" s="7">
        <v>9</v>
      </c>
      <c r="B11" s="8"/>
      <c r="C11" s="8" t="s">
        <v>184</v>
      </c>
      <c r="D11" s="8" t="s">
        <v>185</v>
      </c>
      <c r="E11" s="8" t="s">
        <v>186</v>
      </c>
      <c r="F11" s="8" t="s">
        <v>186</v>
      </c>
      <c r="G11" s="8"/>
      <c r="H11" s="8"/>
      <c r="I11" s="8">
        <f t="shared" si="0"/>
        <v>1</v>
      </c>
      <c r="J11" s="9" t="s">
        <v>188</v>
      </c>
    </row>
    <row r="12" spans="1:10" x14ac:dyDescent="0.25">
      <c r="A12" s="7">
        <v>10</v>
      </c>
      <c r="B12" s="8"/>
      <c r="C12" s="8" t="s">
        <v>212</v>
      </c>
      <c r="D12" s="8" t="s">
        <v>213</v>
      </c>
      <c r="E12" s="8" t="s">
        <v>60</v>
      </c>
      <c r="F12" s="8" t="s">
        <v>214</v>
      </c>
      <c r="G12" s="8" t="s">
        <v>31</v>
      </c>
      <c r="H12" s="8"/>
      <c r="I12" s="8">
        <f t="shared" si="0"/>
        <v>2</v>
      </c>
      <c r="J12" s="9" t="s">
        <v>216</v>
      </c>
    </row>
    <row r="13" spans="1:10" x14ac:dyDescent="0.25">
      <c r="A13" s="7">
        <v>11</v>
      </c>
      <c r="B13" s="8"/>
      <c r="C13" s="8" t="s">
        <v>360</v>
      </c>
      <c r="D13" s="8" t="s">
        <v>361</v>
      </c>
      <c r="E13" s="8" t="s">
        <v>362</v>
      </c>
      <c r="F13" s="8" t="s">
        <v>363</v>
      </c>
      <c r="G13" s="8" t="s">
        <v>364</v>
      </c>
      <c r="H13" s="8" t="s">
        <v>365</v>
      </c>
      <c r="I13" s="8">
        <f t="shared" si="0"/>
        <v>3</v>
      </c>
      <c r="J13" s="9" t="s">
        <v>367</v>
      </c>
    </row>
    <row r="14" spans="1:10" x14ac:dyDescent="0.25">
      <c r="A14" s="7">
        <v>12</v>
      </c>
      <c r="B14" s="8" t="s">
        <v>969</v>
      </c>
      <c r="C14" s="8" t="s">
        <v>434</v>
      </c>
      <c r="D14" s="8" t="s">
        <v>435</v>
      </c>
      <c r="E14" s="8" t="s">
        <v>60</v>
      </c>
      <c r="F14" s="8" t="s">
        <v>436</v>
      </c>
      <c r="G14" s="8" t="s">
        <v>437</v>
      </c>
      <c r="H14" s="8"/>
      <c r="I14" s="8">
        <f t="shared" si="0"/>
        <v>2</v>
      </c>
      <c r="J14" s="9" t="s">
        <v>439</v>
      </c>
    </row>
    <row r="15" spans="1:10" x14ac:dyDescent="0.25">
      <c r="A15" s="7">
        <v>13</v>
      </c>
      <c r="B15" s="8" t="s">
        <v>971</v>
      </c>
      <c r="C15" s="8" t="s">
        <v>136</v>
      </c>
      <c r="D15" s="8" t="s">
        <v>464</v>
      </c>
      <c r="E15" s="8" t="s">
        <v>60</v>
      </c>
      <c r="F15" s="8" t="s">
        <v>465</v>
      </c>
      <c r="G15" s="8"/>
      <c r="H15" s="8"/>
      <c r="I15" s="8">
        <f t="shared" si="0"/>
        <v>1</v>
      </c>
      <c r="J15" s="9" t="s">
        <v>467</v>
      </c>
    </row>
    <row r="16" spans="1:10" x14ac:dyDescent="0.25">
      <c r="A16" s="7">
        <v>14</v>
      </c>
      <c r="B16" s="8" t="s">
        <v>970</v>
      </c>
      <c r="C16" s="8" t="s">
        <v>496</v>
      </c>
      <c r="D16" s="8" t="s">
        <v>497</v>
      </c>
      <c r="E16" s="8" t="s">
        <v>498</v>
      </c>
      <c r="F16" s="8" t="s">
        <v>499</v>
      </c>
      <c r="G16" s="8" t="s">
        <v>500</v>
      </c>
      <c r="H16" s="8" t="s">
        <v>501</v>
      </c>
      <c r="I16" s="8">
        <f t="shared" si="0"/>
        <v>3</v>
      </c>
      <c r="J16" s="9" t="s">
        <v>503</v>
      </c>
    </row>
    <row r="17" spans="1:10" x14ac:dyDescent="0.25">
      <c r="A17" s="7">
        <v>15</v>
      </c>
      <c r="B17" s="8"/>
      <c r="C17" s="8" t="s">
        <v>682</v>
      </c>
      <c r="D17" s="8" t="s">
        <v>683</v>
      </c>
      <c r="E17" s="8" t="s">
        <v>684</v>
      </c>
      <c r="F17" s="8" t="s">
        <v>685</v>
      </c>
      <c r="G17" s="8"/>
      <c r="H17" s="8"/>
      <c r="I17" s="8">
        <f t="shared" si="0"/>
        <v>1</v>
      </c>
      <c r="J17" s="9" t="s">
        <v>687</v>
      </c>
    </row>
    <row r="18" spans="1:10" x14ac:dyDescent="0.25">
      <c r="A18" s="7">
        <v>16</v>
      </c>
      <c r="B18" s="8"/>
      <c r="C18" s="8" t="s">
        <v>682</v>
      </c>
      <c r="D18" s="8" t="s">
        <v>689</v>
      </c>
      <c r="E18" s="8" t="s">
        <v>684</v>
      </c>
      <c r="F18" s="8" t="s">
        <v>690</v>
      </c>
      <c r="G18" s="8"/>
      <c r="H18" s="8"/>
      <c r="I18" s="8">
        <f t="shared" si="0"/>
        <v>1</v>
      </c>
      <c r="J18" s="9" t="s">
        <v>687</v>
      </c>
    </row>
    <row r="19" spans="1:10" x14ac:dyDescent="0.25">
      <c r="A19" s="7">
        <v>17</v>
      </c>
      <c r="B19" s="8"/>
      <c r="C19" s="8" t="s">
        <v>682</v>
      </c>
      <c r="D19" s="8" t="s">
        <v>692</v>
      </c>
      <c r="E19" s="8" t="s">
        <v>684</v>
      </c>
      <c r="F19" s="8" t="s">
        <v>693</v>
      </c>
      <c r="G19" s="8"/>
      <c r="H19" s="8"/>
      <c r="I19" s="8">
        <f t="shared" si="0"/>
        <v>1</v>
      </c>
      <c r="J19" s="9" t="s">
        <v>687</v>
      </c>
    </row>
    <row r="20" spans="1:10" x14ac:dyDescent="0.25">
      <c r="A20" s="7">
        <v>18</v>
      </c>
      <c r="B20" s="8" t="s">
        <v>972</v>
      </c>
      <c r="C20" s="8" t="s">
        <v>27</v>
      </c>
      <c r="D20" s="8" t="s">
        <v>724</v>
      </c>
      <c r="E20" s="8" t="s">
        <v>73</v>
      </c>
      <c r="F20" s="8" t="s">
        <v>725</v>
      </c>
      <c r="G20" s="8" t="s">
        <v>726</v>
      </c>
      <c r="H20" s="8" t="s">
        <v>727</v>
      </c>
      <c r="I20" s="8">
        <f t="shared" si="0"/>
        <v>3</v>
      </c>
      <c r="J20" s="9" t="s">
        <v>729</v>
      </c>
    </row>
    <row r="21" spans="1:10" x14ac:dyDescent="0.25">
      <c r="A21" s="7">
        <v>19</v>
      </c>
      <c r="B21" s="8" t="s">
        <v>973</v>
      </c>
      <c r="C21" s="8" t="s">
        <v>212</v>
      </c>
      <c r="D21" s="8" t="s">
        <v>808</v>
      </c>
      <c r="E21" s="8" t="s">
        <v>60</v>
      </c>
      <c r="F21" s="8" t="s">
        <v>809</v>
      </c>
      <c r="G21" s="8" t="s">
        <v>810</v>
      </c>
      <c r="H21" s="8" t="s">
        <v>811</v>
      </c>
      <c r="I21" s="8">
        <f t="shared" si="0"/>
        <v>3</v>
      </c>
      <c r="J21" s="9" t="s">
        <v>813</v>
      </c>
    </row>
    <row r="22" spans="1:10" ht="15.75" thickBot="1" x14ac:dyDescent="0.3">
      <c r="A22" s="10">
        <v>20</v>
      </c>
      <c r="B22" s="11" t="s">
        <v>970</v>
      </c>
      <c r="C22" s="11" t="s">
        <v>700</v>
      </c>
      <c r="D22" s="11" t="s">
        <v>701</v>
      </c>
      <c r="E22" s="11" t="s">
        <v>702</v>
      </c>
      <c r="F22" s="11" t="s">
        <v>704</v>
      </c>
      <c r="G22" s="11" t="s">
        <v>828</v>
      </c>
      <c r="H22" s="11"/>
      <c r="I22" s="15">
        <f t="shared" si="0"/>
        <v>2</v>
      </c>
      <c r="J22" s="12" t="s">
        <v>706</v>
      </c>
    </row>
    <row r="23" spans="1:10" ht="15.75" thickBot="1" x14ac:dyDescent="0.3">
      <c r="I23" s="13">
        <f>SUM(I3:I22)</f>
        <v>36</v>
      </c>
    </row>
  </sheetData>
  <mergeCells count="1">
    <mergeCell ref="A1:J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1CAC6-9278-4EA2-A961-365CB28CDB97}">
  <dimension ref="A1:J9"/>
  <sheetViews>
    <sheetView workbookViewId="0">
      <selection activeCell="I3" sqref="I3"/>
    </sheetView>
  </sheetViews>
  <sheetFormatPr defaultRowHeight="15" x14ac:dyDescent="0.25"/>
  <cols>
    <col min="1" max="1" width="7.140625" bestFit="1" customWidth="1"/>
    <col min="2" max="2" width="16.28515625" bestFit="1" customWidth="1"/>
    <col min="3" max="3" width="58" bestFit="1" customWidth="1"/>
    <col min="4" max="4" width="18.5703125" bestFit="1" customWidth="1"/>
    <col min="5" max="6" width="32.85546875" bestFit="1" customWidth="1"/>
    <col min="7" max="7" width="33.5703125" bestFit="1" customWidth="1"/>
    <col min="8" max="8" width="28" bestFit="1" customWidth="1"/>
    <col min="9" max="9" width="8.7109375" customWidth="1"/>
    <col min="10" max="10" width="24.140625" bestFit="1" customWidth="1"/>
  </cols>
  <sheetData>
    <row r="1" spans="1:10" ht="21.75" thickBot="1" x14ac:dyDescent="0.4">
      <c r="A1" s="22" t="s">
        <v>974</v>
      </c>
      <c r="B1" s="23"/>
      <c r="C1" s="23"/>
      <c r="D1" s="23"/>
      <c r="E1" s="23"/>
      <c r="F1" s="23"/>
      <c r="G1" s="23"/>
      <c r="H1" s="23"/>
      <c r="I1" s="23"/>
      <c r="J1" s="24"/>
    </row>
    <row r="2" spans="1:10" ht="45" x14ac:dyDescent="0.25">
      <c r="A2" s="2" t="s">
        <v>937</v>
      </c>
      <c r="B2" s="3" t="s">
        <v>938</v>
      </c>
      <c r="C2" s="4" t="s">
        <v>939</v>
      </c>
      <c r="D2" s="4" t="s">
        <v>2</v>
      </c>
      <c r="E2" s="4" t="s">
        <v>940</v>
      </c>
      <c r="F2" s="4" t="s">
        <v>942</v>
      </c>
      <c r="G2" s="4" t="s">
        <v>943</v>
      </c>
      <c r="H2" s="4" t="s">
        <v>944</v>
      </c>
      <c r="I2" s="16" t="s">
        <v>941</v>
      </c>
      <c r="J2" s="6" t="s">
        <v>8</v>
      </c>
    </row>
    <row r="3" spans="1:10" x14ac:dyDescent="0.25">
      <c r="A3" s="7">
        <v>1</v>
      </c>
      <c r="B3" s="8"/>
      <c r="C3" s="8" t="s">
        <v>136</v>
      </c>
      <c r="D3" s="8" t="s">
        <v>191</v>
      </c>
      <c r="E3" s="8" t="s">
        <v>192</v>
      </c>
      <c r="F3" s="8" t="s">
        <v>193</v>
      </c>
      <c r="G3" s="8" t="s">
        <v>194</v>
      </c>
      <c r="H3" s="8" t="s">
        <v>192</v>
      </c>
      <c r="I3" s="8">
        <f>COUNTA(F3:H3)</f>
        <v>3</v>
      </c>
      <c r="J3" s="9" t="s">
        <v>196</v>
      </c>
    </row>
    <row r="4" spans="1:10" x14ac:dyDescent="0.25">
      <c r="A4" s="7">
        <v>2</v>
      </c>
      <c r="B4" s="8" t="s">
        <v>976</v>
      </c>
      <c r="C4" s="8" t="s">
        <v>219</v>
      </c>
      <c r="D4" s="8" t="s">
        <v>220</v>
      </c>
      <c r="E4" s="8" t="s">
        <v>221</v>
      </c>
      <c r="F4" s="8" t="s">
        <v>222</v>
      </c>
      <c r="G4" s="8" t="s">
        <v>223</v>
      </c>
      <c r="H4" s="8"/>
      <c r="I4" s="8">
        <f t="shared" ref="I4:I8" si="0">COUNTA(F4:H4)</f>
        <v>2</v>
      </c>
      <c r="J4" s="9" t="s">
        <v>225</v>
      </c>
    </row>
    <row r="5" spans="1:10" x14ac:dyDescent="0.25">
      <c r="A5" s="7">
        <v>3</v>
      </c>
      <c r="B5" s="8" t="s">
        <v>976</v>
      </c>
      <c r="C5" s="8" t="s">
        <v>219</v>
      </c>
      <c r="D5" s="8" t="s">
        <v>220</v>
      </c>
      <c r="E5" s="8" t="s">
        <v>583</v>
      </c>
      <c r="F5" s="8" t="s">
        <v>584</v>
      </c>
      <c r="G5" s="8" t="s">
        <v>585</v>
      </c>
      <c r="H5" s="8"/>
      <c r="I5" s="8">
        <f t="shared" si="0"/>
        <v>2</v>
      </c>
      <c r="J5" s="9" t="s">
        <v>587</v>
      </c>
    </row>
    <row r="6" spans="1:10" x14ac:dyDescent="0.25">
      <c r="A6" s="7">
        <v>4</v>
      </c>
      <c r="B6" s="8"/>
      <c r="C6" s="8" t="s">
        <v>159</v>
      </c>
      <c r="D6" s="8" t="s">
        <v>674</v>
      </c>
      <c r="E6" s="8" t="s">
        <v>90</v>
      </c>
      <c r="F6" s="8" t="s">
        <v>91</v>
      </c>
      <c r="G6" s="8" t="s">
        <v>675</v>
      </c>
      <c r="H6" s="8"/>
      <c r="I6" s="8">
        <f t="shared" si="0"/>
        <v>2</v>
      </c>
      <c r="J6" s="9" t="s">
        <v>95</v>
      </c>
    </row>
    <row r="7" spans="1:10" x14ac:dyDescent="0.25">
      <c r="A7" s="7">
        <v>5</v>
      </c>
      <c r="B7" s="8"/>
      <c r="C7" s="8" t="s">
        <v>975</v>
      </c>
      <c r="D7" s="8" t="s">
        <v>820</v>
      </c>
      <c r="E7" s="8" t="s">
        <v>821</v>
      </c>
      <c r="F7" s="8" t="s">
        <v>822</v>
      </c>
      <c r="G7" s="8" t="s">
        <v>823</v>
      </c>
      <c r="H7" s="8"/>
      <c r="I7" s="8">
        <f t="shared" si="0"/>
        <v>2</v>
      </c>
      <c r="J7" s="9" t="s">
        <v>825</v>
      </c>
    </row>
    <row r="8" spans="1:10" ht="15.75" thickBot="1" x14ac:dyDescent="0.3">
      <c r="A8" s="10">
        <v>6</v>
      </c>
      <c r="B8" s="11" t="s">
        <v>977</v>
      </c>
      <c r="C8" s="11" t="s">
        <v>911</v>
      </c>
      <c r="D8" s="11" t="s">
        <v>912</v>
      </c>
      <c r="E8" s="11" t="s">
        <v>913</v>
      </c>
      <c r="F8" s="11" t="s">
        <v>914</v>
      </c>
      <c r="G8" s="11"/>
      <c r="H8" s="11"/>
      <c r="I8" s="15">
        <f t="shared" si="0"/>
        <v>1</v>
      </c>
      <c r="J8" s="12" t="s">
        <v>916</v>
      </c>
    </row>
    <row r="9" spans="1:10" ht="15.75" thickBot="1" x14ac:dyDescent="0.3">
      <c r="I9" s="13">
        <f>SUM(I3:I8)</f>
        <v>12</v>
      </c>
    </row>
  </sheetData>
  <mergeCells count="1">
    <mergeCell ref="A1:J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9BFC3-AF9D-430C-81F4-D8D9637A1288}">
  <dimension ref="A1:J10"/>
  <sheetViews>
    <sheetView workbookViewId="0">
      <selection activeCell="G27" sqref="G27"/>
    </sheetView>
  </sheetViews>
  <sheetFormatPr defaultRowHeight="15" x14ac:dyDescent="0.25"/>
  <cols>
    <col min="1" max="1" width="7.140625" bestFit="1" customWidth="1"/>
    <col min="2" max="2" width="16.7109375" bestFit="1" customWidth="1"/>
    <col min="3" max="3" width="57.140625" customWidth="1"/>
    <col min="4" max="4" width="19.7109375" bestFit="1" customWidth="1"/>
    <col min="5" max="5" width="34" bestFit="1" customWidth="1"/>
    <col min="6" max="6" width="33.5703125" bestFit="1" customWidth="1"/>
    <col min="7" max="7" width="30.85546875" bestFit="1" customWidth="1"/>
    <col min="8" max="8" width="31.140625" bestFit="1" customWidth="1"/>
    <col min="9" max="9" width="9" customWidth="1"/>
    <col min="10" max="10" width="29.7109375" bestFit="1" customWidth="1"/>
  </cols>
  <sheetData>
    <row r="1" spans="1:10" ht="21.75" thickBot="1" x14ac:dyDescent="0.4">
      <c r="A1" s="22" t="s">
        <v>218</v>
      </c>
      <c r="B1" s="23"/>
      <c r="C1" s="23"/>
      <c r="D1" s="23"/>
      <c r="E1" s="23"/>
      <c r="F1" s="23"/>
      <c r="G1" s="23"/>
      <c r="H1" s="23"/>
      <c r="I1" s="23"/>
      <c r="J1" s="24"/>
    </row>
    <row r="2" spans="1:10" ht="30" x14ac:dyDescent="0.25">
      <c r="A2" s="2" t="s">
        <v>937</v>
      </c>
      <c r="B2" s="3" t="s">
        <v>938</v>
      </c>
      <c r="C2" s="4" t="s">
        <v>939</v>
      </c>
      <c r="D2" s="4" t="s">
        <v>2</v>
      </c>
      <c r="E2" s="4" t="s">
        <v>940</v>
      </c>
      <c r="F2" s="4" t="s">
        <v>942</v>
      </c>
      <c r="G2" s="4" t="s">
        <v>943</v>
      </c>
      <c r="H2" s="4" t="s">
        <v>944</v>
      </c>
      <c r="I2" s="16" t="s">
        <v>941</v>
      </c>
      <c r="J2" s="6" t="s">
        <v>8</v>
      </c>
    </row>
    <row r="3" spans="1:10" x14ac:dyDescent="0.25">
      <c r="A3" s="7">
        <v>1</v>
      </c>
      <c r="B3" s="8" t="s">
        <v>978</v>
      </c>
      <c r="C3" s="8" t="s">
        <v>219</v>
      </c>
      <c r="D3" s="8" t="s">
        <v>220</v>
      </c>
      <c r="E3" s="8" t="s">
        <v>221</v>
      </c>
      <c r="F3" s="8" t="s">
        <v>222</v>
      </c>
      <c r="G3" s="8" t="s">
        <v>223</v>
      </c>
      <c r="H3" s="8"/>
      <c r="I3" s="8">
        <f>COUNTA(F3:H3)</f>
        <v>2</v>
      </c>
      <c r="J3" s="9" t="s">
        <v>225</v>
      </c>
    </row>
    <row r="4" spans="1:10" x14ac:dyDescent="0.25">
      <c r="A4" s="7">
        <v>2</v>
      </c>
      <c r="B4" s="8"/>
      <c r="C4" s="8" t="s">
        <v>341</v>
      </c>
      <c r="D4" s="8" t="s">
        <v>342</v>
      </c>
      <c r="E4" s="8" t="s">
        <v>343</v>
      </c>
      <c r="F4" s="8" t="s">
        <v>344</v>
      </c>
      <c r="G4" s="8" t="s">
        <v>345</v>
      </c>
      <c r="H4" s="8" t="s">
        <v>346</v>
      </c>
      <c r="I4" s="8">
        <f t="shared" ref="I4:I9" si="0">COUNTA(F4:H4)</f>
        <v>3</v>
      </c>
      <c r="J4" s="9" t="s">
        <v>348</v>
      </c>
    </row>
    <row r="5" spans="1:10" x14ac:dyDescent="0.25">
      <c r="A5" s="7">
        <v>3</v>
      </c>
      <c r="B5" s="8" t="s">
        <v>979</v>
      </c>
      <c r="C5" s="8" t="s">
        <v>487</v>
      </c>
      <c r="D5" s="8" t="s">
        <v>488</v>
      </c>
      <c r="E5" s="8" t="s">
        <v>489</v>
      </c>
      <c r="F5" s="8" t="s">
        <v>490</v>
      </c>
      <c r="G5" s="8" t="s">
        <v>491</v>
      </c>
      <c r="H5" s="8" t="s">
        <v>492</v>
      </c>
      <c r="I5" s="8">
        <f t="shared" si="0"/>
        <v>3</v>
      </c>
      <c r="J5" s="9" t="s">
        <v>494</v>
      </c>
    </row>
    <row r="6" spans="1:10" x14ac:dyDescent="0.25">
      <c r="A6" s="7">
        <v>4</v>
      </c>
      <c r="B6" s="8"/>
      <c r="C6" s="8" t="s">
        <v>574</v>
      </c>
      <c r="D6" s="8" t="s">
        <v>575</v>
      </c>
      <c r="E6" s="8" t="s">
        <v>576</v>
      </c>
      <c r="F6" s="8" t="s">
        <v>577</v>
      </c>
      <c r="G6" s="8" t="s">
        <v>578</v>
      </c>
      <c r="H6" s="8" t="s">
        <v>579</v>
      </c>
      <c r="I6" s="8">
        <f t="shared" si="0"/>
        <v>3</v>
      </c>
      <c r="J6" s="9" t="s">
        <v>581</v>
      </c>
    </row>
    <row r="7" spans="1:10" x14ac:dyDescent="0.25">
      <c r="A7" s="7">
        <v>5</v>
      </c>
      <c r="B7" s="8" t="s">
        <v>978</v>
      </c>
      <c r="C7" s="8" t="s">
        <v>219</v>
      </c>
      <c r="D7" s="8" t="s">
        <v>220</v>
      </c>
      <c r="E7" s="8" t="s">
        <v>583</v>
      </c>
      <c r="F7" s="8" t="s">
        <v>584</v>
      </c>
      <c r="G7" s="8" t="s">
        <v>585</v>
      </c>
      <c r="H7" s="8"/>
      <c r="I7" s="8">
        <f t="shared" si="0"/>
        <v>2</v>
      </c>
      <c r="J7" s="9" t="s">
        <v>587</v>
      </c>
    </row>
    <row r="8" spans="1:10" x14ac:dyDescent="0.25">
      <c r="A8" s="7">
        <v>6</v>
      </c>
      <c r="B8" s="8" t="s">
        <v>980</v>
      </c>
      <c r="C8" s="8" t="s">
        <v>212</v>
      </c>
      <c r="D8" s="8" t="s">
        <v>808</v>
      </c>
      <c r="E8" s="8" t="s">
        <v>60</v>
      </c>
      <c r="F8" s="8" t="s">
        <v>809</v>
      </c>
      <c r="G8" s="8" t="s">
        <v>810</v>
      </c>
      <c r="H8" s="8" t="s">
        <v>811</v>
      </c>
      <c r="I8" s="8">
        <f t="shared" si="0"/>
        <v>3</v>
      </c>
      <c r="J8" s="9" t="s">
        <v>813</v>
      </c>
    </row>
    <row r="9" spans="1:10" ht="15.75" thickBot="1" x14ac:dyDescent="0.3">
      <c r="A9" s="10">
        <v>7</v>
      </c>
      <c r="B9" s="11"/>
      <c r="C9" s="11" t="s">
        <v>849</v>
      </c>
      <c r="D9" s="11" t="s">
        <v>864</v>
      </c>
      <c r="E9" s="11" t="s">
        <v>851</v>
      </c>
      <c r="F9" s="11" t="s">
        <v>865</v>
      </c>
      <c r="G9" s="11" t="s">
        <v>866</v>
      </c>
      <c r="H9" s="11" t="s">
        <v>867</v>
      </c>
      <c r="I9" s="15">
        <f t="shared" si="0"/>
        <v>3</v>
      </c>
      <c r="J9" s="12" t="s">
        <v>854</v>
      </c>
    </row>
    <row r="10" spans="1:10" ht="15.75" thickBot="1" x14ac:dyDescent="0.3">
      <c r="I10" s="13">
        <f>SUM(I3:I9)</f>
        <v>19</v>
      </c>
    </row>
  </sheetData>
  <mergeCells count="1">
    <mergeCell ref="A1:J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F25DD-6A50-4EE2-A9A0-43A58D04B850}">
  <dimension ref="A1:H57"/>
  <sheetViews>
    <sheetView workbookViewId="0">
      <selection activeCell="B10" sqref="B10"/>
    </sheetView>
  </sheetViews>
  <sheetFormatPr defaultRowHeight="15" x14ac:dyDescent="0.25"/>
  <cols>
    <col min="2" max="2" width="16.28515625" bestFit="1" customWidth="1"/>
    <col min="3" max="3" width="43.85546875" customWidth="1"/>
    <col min="4" max="4" width="31.5703125" customWidth="1"/>
    <col min="5" max="5" width="34" bestFit="1" customWidth="1"/>
    <col min="6" max="6" width="36.85546875" bestFit="1" customWidth="1"/>
    <col min="7" max="7" width="9.5703125" customWidth="1"/>
    <col min="8" max="8" width="31.42578125" bestFit="1" customWidth="1"/>
  </cols>
  <sheetData>
    <row r="1" spans="1:8" ht="21.75" thickBot="1" x14ac:dyDescent="0.4">
      <c r="A1" s="22" t="s">
        <v>953</v>
      </c>
      <c r="B1" s="23"/>
      <c r="C1" s="23"/>
      <c r="D1" s="23"/>
      <c r="E1" s="23"/>
      <c r="F1" s="23"/>
      <c r="G1" s="23"/>
      <c r="H1" s="24"/>
    </row>
    <row r="2" spans="1:8" ht="30" x14ac:dyDescent="0.25">
      <c r="A2" s="2" t="s">
        <v>937</v>
      </c>
      <c r="B2" s="3" t="s">
        <v>938</v>
      </c>
      <c r="C2" s="4" t="s">
        <v>939</v>
      </c>
      <c r="D2" s="4" t="s">
        <v>2</v>
      </c>
      <c r="E2" s="4" t="s">
        <v>940</v>
      </c>
      <c r="F2" s="4" t="s">
        <v>942</v>
      </c>
      <c r="G2" s="16" t="s">
        <v>941</v>
      </c>
      <c r="H2" s="6" t="s">
        <v>8</v>
      </c>
    </row>
    <row r="3" spans="1:8" x14ac:dyDescent="0.25">
      <c r="A3" s="7">
        <v>1</v>
      </c>
      <c r="B3" s="8" t="s">
        <v>968</v>
      </c>
      <c r="C3" s="8" t="s">
        <v>11</v>
      </c>
      <c r="D3" s="8" t="s">
        <v>12</v>
      </c>
      <c r="E3" s="8" t="s">
        <v>13</v>
      </c>
      <c r="F3" s="8" t="s">
        <v>14</v>
      </c>
      <c r="G3" s="8">
        <v>1</v>
      </c>
      <c r="H3" s="9" t="s">
        <v>16</v>
      </c>
    </row>
    <row r="4" spans="1:8" x14ac:dyDescent="0.25">
      <c r="A4" s="7">
        <v>2</v>
      </c>
      <c r="B4" s="8"/>
      <c r="C4" s="8" t="s">
        <v>144</v>
      </c>
      <c r="D4" s="8" t="s">
        <v>145</v>
      </c>
      <c r="E4" s="8" t="s">
        <v>146</v>
      </c>
      <c r="F4" s="8" t="s">
        <v>147</v>
      </c>
      <c r="G4" s="8">
        <v>1</v>
      </c>
      <c r="H4" s="9" t="s">
        <v>150</v>
      </c>
    </row>
    <row r="5" spans="1:8" x14ac:dyDescent="0.25">
      <c r="A5" s="7">
        <v>3</v>
      </c>
      <c r="B5" s="8"/>
      <c r="C5" s="8" t="s">
        <v>144</v>
      </c>
      <c r="D5" s="8" t="s">
        <v>145</v>
      </c>
      <c r="E5" s="8" t="s">
        <v>146</v>
      </c>
      <c r="F5" s="8" t="s">
        <v>148</v>
      </c>
      <c r="G5" s="8">
        <v>1</v>
      </c>
      <c r="H5" s="9" t="s">
        <v>150</v>
      </c>
    </row>
    <row r="6" spans="1:8" x14ac:dyDescent="0.25">
      <c r="A6" s="7">
        <v>4</v>
      </c>
      <c r="B6" s="8" t="s">
        <v>968</v>
      </c>
      <c r="C6" s="8" t="s">
        <v>227</v>
      </c>
      <c r="D6" s="8" t="s">
        <v>228</v>
      </c>
      <c r="E6" s="8" t="s">
        <v>229</v>
      </c>
      <c r="F6" s="8" t="s">
        <v>228</v>
      </c>
      <c r="G6" s="8">
        <v>1</v>
      </c>
      <c r="H6" s="9" t="s">
        <v>231</v>
      </c>
    </row>
    <row r="7" spans="1:8" x14ac:dyDescent="0.25">
      <c r="A7" s="7">
        <v>5</v>
      </c>
      <c r="B7" s="8" t="s">
        <v>968</v>
      </c>
      <c r="C7" s="8" t="s">
        <v>233</v>
      </c>
      <c r="D7" s="8" t="s">
        <v>234</v>
      </c>
      <c r="E7" s="8" t="s">
        <v>235</v>
      </c>
      <c r="F7" s="8" t="s">
        <v>236</v>
      </c>
      <c r="G7" s="8">
        <v>1</v>
      </c>
      <c r="H7" s="9" t="s">
        <v>238</v>
      </c>
    </row>
    <row r="8" spans="1:8" x14ac:dyDescent="0.25">
      <c r="A8" s="7">
        <v>6</v>
      </c>
      <c r="B8" s="8"/>
      <c r="C8" s="8" t="s">
        <v>262</v>
      </c>
      <c r="D8" s="8" t="s">
        <v>263</v>
      </c>
      <c r="E8" s="8" t="s">
        <v>264</v>
      </c>
      <c r="F8" s="8" t="s">
        <v>265</v>
      </c>
      <c r="G8" s="8">
        <v>1</v>
      </c>
      <c r="H8" s="9" t="s">
        <v>267</v>
      </c>
    </row>
    <row r="9" spans="1:8" x14ac:dyDescent="0.25">
      <c r="A9" s="7">
        <v>7</v>
      </c>
      <c r="B9" s="8" t="s">
        <v>988</v>
      </c>
      <c r="C9" s="8" t="s">
        <v>269</v>
      </c>
      <c r="D9" s="8" t="s">
        <v>270</v>
      </c>
      <c r="E9" s="8" t="s">
        <v>271</v>
      </c>
      <c r="F9" s="8" t="s">
        <v>272</v>
      </c>
      <c r="G9" s="8">
        <v>1</v>
      </c>
      <c r="H9" s="9" t="s">
        <v>274</v>
      </c>
    </row>
    <row r="10" spans="1:8" x14ac:dyDescent="0.25">
      <c r="A10" s="7">
        <v>8</v>
      </c>
      <c r="B10" s="8" t="s">
        <v>968</v>
      </c>
      <c r="C10" s="8" t="s">
        <v>314</v>
      </c>
      <c r="D10" s="8" t="s">
        <v>315</v>
      </c>
      <c r="E10" s="8" t="s">
        <v>235</v>
      </c>
      <c r="F10" s="8" t="s">
        <v>316</v>
      </c>
      <c r="G10" s="8">
        <v>1</v>
      </c>
      <c r="H10" s="9" t="s">
        <v>318</v>
      </c>
    </row>
    <row r="11" spans="1:8" x14ac:dyDescent="0.25">
      <c r="A11" s="7">
        <v>9</v>
      </c>
      <c r="B11" s="8" t="s">
        <v>968</v>
      </c>
      <c r="C11" s="8" t="s">
        <v>324</v>
      </c>
      <c r="D11" s="8" t="s">
        <v>325</v>
      </c>
      <c r="E11" s="8" t="s">
        <v>326</v>
      </c>
      <c r="F11" s="8" t="s">
        <v>327</v>
      </c>
      <c r="G11" s="8">
        <v>1</v>
      </c>
      <c r="H11" s="9" t="s">
        <v>329</v>
      </c>
    </row>
    <row r="12" spans="1:8" x14ac:dyDescent="0.25">
      <c r="A12" s="7">
        <v>10</v>
      </c>
      <c r="B12" s="8" t="s">
        <v>968</v>
      </c>
      <c r="C12" s="8" t="s">
        <v>350</v>
      </c>
      <c r="D12" s="8" t="s">
        <v>351</v>
      </c>
      <c r="E12" s="8" t="s">
        <v>326</v>
      </c>
      <c r="F12" s="8" t="s">
        <v>351</v>
      </c>
      <c r="G12" s="8">
        <v>1</v>
      </c>
      <c r="H12" s="9" t="s">
        <v>353</v>
      </c>
    </row>
    <row r="13" spans="1:8" x14ac:dyDescent="0.25">
      <c r="A13" s="7">
        <v>11</v>
      </c>
      <c r="B13" s="8" t="s">
        <v>968</v>
      </c>
      <c r="C13" s="8" t="s">
        <v>355</v>
      </c>
      <c r="D13" s="8" t="s">
        <v>356</v>
      </c>
      <c r="E13" s="8" t="s">
        <v>326</v>
      </c>
      <c r="F13" s="8" t="s">
        <v>356</v>
      </c>
      <c r="G13" s="8">
        <v>1</v>
      </c>
      <c r="H13" s="9" t="s">
        <v>358</v>
      </c>
    </row>
    <row r="14" spans="1:8" x14ac:dyDescent="0.25">
      <c r="A14" s="7">
        <v>12</v>
      </c>
      <c r="B14" s="8" t="s">
        <v>968</v>
      </c>
      <c r="C14" s="8" t="s">
        <v>369</v>
      </c>
      <c r="D14" s="8" t="s">
        <v>370</v>
      </c>
      <c r="E14" s="8" t="s">
        <v>326</v>
      </c>
      <c r="F14" s="8" t="s">
        <v>370</v>
      </c>
      <c r="G14" s="8">
        <v>1</v>
      </c>
      <c r="H14" s="9" t="s">
        <v>372</v>
      </c>
    </row>
    <row r="15" spans="1:8" x14ac:dyDescent="0.25">
      <c r="A15" s="7">
        <v>13</v>
      </c>
      <c r="B15" s="8"/>
      <c r="C15" s="8" t="s">
        <v>394</v>
      </c>
      <c r="D15" s="8" t="s">
        <v>395</v>
      </c>
      <c r="E15" s="8" t="s">
        <v>326</v>
      </c>
      <c r="F15" s="8" t="s">
        <v>395</v>
      </c>
      <c r="G15" s="8">
        <v>1</v>
      </c>
      <c r="H15" s="9" t="s">
        <v>397</v>
      </c>
    </row>
    <row r="16" spans="1:8" x14ac:dyDescent="0.25">
      <c r="A16" s="7">
        <v>14</v>
      </c>
      <c r="B16" s="8" t="s">
        <v>968</v>
      </c>
      <c r="C16" s="8" t="s">
        <v>427</v>
      </c>
      <c r="D16" s="8" t="s">
        <v>428</v>
      </c>
      <c r="E16" s="8" t="s">
        <v>429</v>
      </c>
      <c r="F16" s="8" t="s">
        <v>430</v>
      </c>
      <c r="G16" s="8">
        <v>1</v>
      </c>
      <c r="H16" s="9" t="s">
        <v>432</v>
      </c>
    </row>
    <row r="17" spans="1:8" x14ac:dyDescent="0.25">
      <c r="A17" s="7">
        <v>15</v>
      </c>
      <c r="B17" s="8" t="s">
        <v>959</v>
      </c>
      <c r="C17" s="8" t="s">
        <v>136</v>
      </c>
      <c r="D17" s="8" t="s">
        <v>464</v>
      </c>
      <c r="E17" s="8" t="s">
        <v>60</v>
      </c>
      <c r="F17" s="8" t="s">
        <v>465</v>
      </c>
      <c r="G17" s="8">
        <v>1</v>
      </c>
      <c r="H17" s="9" t="s">
        <v>467</v>
      </c>
    </row>
    <row r="18" spans="1:8" x14ac:dyDescent="0.25">
      <c r="A18" s="7">
        <v>16</v>
      </c>
      <c r="B18" s="8"/>
      <c r="C18" s="8" t="s">
        <v>469</v>
      </c>
      <c r="D18" s="8" t="s">
        <v>470</v>
      </c>
      <c r="E18" s="8" t="s">
        <v>271</v>
      </c>
      <c r="F18" s="8" t="s">
        <v>471</v>
      </c>
      <c r="G18" s="8">
        <v>1</v>
      </c>
      <c r="H18" s="9" t="s">
        <v>473</v>
      </c>
    </row>
    <row r="19" spans="1:8" x14ac:dyDescent="0.25">
      <c r="A19" s="7">
        <v>17</v>
      </c>
      <c r="B19" s="8"/>
      <c r="C19" s="8" t="s">
        <v>469</v>
      </c>
      <c r="D19" s="8" t="s">
        <v>475</v>
      </c>
      <c r="E19" s="8" t="s">
        <v>271</v>
      </c>
      <c r="F19" s="8" t="s">
        <v>476</v>
      </c>
      <c r="G19" s="8">
        <v>1</v>
      </c>
      <c r="H19" s="9" t="s">
        <v>479</v>
      </c>
    </row>
    <row r="20" spans="1:8" x14ac:dyDescent="0.25">
      <c r="A20" s="7">
        <v>18</v>
      </c>
      <c r="B20" s="8"/>
      <c r="C20" s="8" t="s">
        <v>469</v>
      </c>
      <c r="D20" s="8" t="s">
        <v>475</v>
      </c>
      <c r="E20" s="8" t="s">
        <v>271</v>
      </c>
      <c r="F20" s="8" t="s">
        <v>477</v>
      </c>
      <c r="G20" s="8">
        <v>1</v>
      </c>
      <c r="H20" s="9" t="s">
        <v>479</v>
      </c>
    </row>
    <row r="21" spans="1:8" x14ac:dyDescent="0.25">
      <c r="A21" s="7">
        <v>19</v>
      </c>
      <c r="B21" s="8" t="s">
        <v>981</v>
      </c>
      <c r="C21" s="8" t="s">
        <v>487</v>
      </c>
      <c r="D21" s="8" t="s">
        <v>488</v>
      </c>
      <c r="E21" s="8" t="s">
        <v>489</v>
      </c>
      <c r="F21" s="8" t="s">
        <v>490</v>
      </c>
      <c r="G21" s="8">
        <v>1</v>
      </c>
      <c r="H21" s="9" t="s">
        <v>494</v>
      </c>
    </row>
    <row r="22" spans="1:8" x14ac:dyDescent="0.25">
      <c r="A22" s="7">
        <v>20</v>
      </c>
      <c r="B22" s="8" t="s">
        <v>981</v>
      </c>
      <c r="C22" s="8" t="s">
        <v>487</v>
      </c>
      <c r="D22" s="8" t="s">
        <v>488</v>
      </c>
      <c r="E22" s="8" t="s">
        <v>489</v>
      </c>
      <c r="F22" s="8" t="s">
        <v>491</v>
      </c>
      <c r="G22" s="8">
        <v>1</v>
      </c>
      <c r="H22" s="9" t="s">
        <v>494</v>
      </c>
    </row>
    <row r="23" spans="1:8" x14ac:dyDescent="0.25">
      <c r="A23" s="7">
        <v>21</v>
      </c>
      <c r="B23" s="8" t="s">
        <v>981</v>
      </c>
      <c r="C23" s="8" t="s">
        <v>487</v>
      </c>
      <c r="D23" s="8" t="s">
        <v>488</v>
      </c>
      <c r="E23" s="8" t="s">
        <v>489</v>
      </c>
      <c r="F23" s="8" t="s">
        <v>492</v>
      </c>
      <c r="G23" s="8">
        <v>1</v>
      </c>
      <c r="H23" s="9" t="s">
        <v>494</v>
      </c>
    </row>
    <row r="24" spans="1:8" x14ac:dyDescent="0.25">
      <c r="A24" s="7">
        <v>22</v>
      </c>
      <c r="B24" s="8" t="s">
        <v>968</v>
      </c>
      <c r="C24" s="8" t="s">
        <v>517</v>
      </c>
      <c r="D24" s="8" t="s">
        <v>518</v>
      </c>
      <c r="E24" s="8" t="s">
        <v>235</v>
      </c>
      <c r="F24" s="8" t="s">
        <v>519</v>
      </c>
      <c r="G24" s="8">
        <v>1</v>
      </c>
      <c r="H24" s="9" t="s">
        <v>521</v>
      </c>
    </row>
    <row r="25" spans="1:8" x14ac:dyDescent="0.25">
      <c r="A25" s="7">
        <v>23</v>
      </c>
      <c r="B25" s="8" t="s">
        <v>968</v>
      </c>
      <c r="C25" s="8" t="s">
        <v>517</v>
      </c>
      <c r="D25" s="8" t="s">
        <v>523</v>
      </c>
      <c r="E25" s="8" t="s">
        <v>235</v>
      </c>
      <c r="F25" s="8" t="s">
        <v>524</v>
      </c>
      <c r="G25" s="8">
        <v>1</v>
      </c>
      <c r="H25" s="9" t="s">
        <v>526</v>
      </c>
    </row>
    <row r="26" spans="1:8" x14ac:dyDescent="0.25">
      <c r="A26" s="7">
        <v>24</v>
      </c>
      <c r="B26" s="8" t="s">
        <v>968</v>
      </c>
      <c r="C26" s="8" t="s">
        <v>517</v>
      </c>
      <c r="D26" s="8" t="s">
        <v>528</v>
      </c>
      <c r="E26" s="8" t="s">
        <v>235</v>
      </c>
      <c r="F26" s="8" t="s">
        <v>529</v>
      </c>
      <c r="G26" s="8">
        <v>1</v>
      </c>
      <c r="H26" s="9" t="s">
        <v>531</v>
      </c>
    </row>
    <row r="27" spans="1:8" x14ac:dyDescent="0.25">
      <c r="A27" s="7">
        <v>25</v>
      </c>
      <c r="B27" s="8" t="s">
        <v>968</v>
      </c>
      <c r="C27" s="8" t="s">
        <v>517</v>
      </c>
      <c r="D27" s="8" t="s">
        <v>533</v>
      </c>
      <c r="E27" s="8" t="s">
        <v>235</v>
      </c>
      <c r="F27" s="8" t="s">
        <v>534</v>
      </c>
      <c r="G27" s="8">
        <v>1</v>
      </c>
      <c r="H27" s="9" t="s">
        <v>536</v>
      </c>
    </row>
    <row r="28" spans="1:8" x14ac:dyDescent="0.25">
      <c r="A28" s="7">
        <v>26</v>
      </c>
      <c r="B28" s="8" t="s">
        <v>968</v>
      </c>
      <c r="C28" s="8" t="s">
        <v>517</v>
      </c>
      <c r="D28" s="8" t="s">
        <v>538</v>
      </c>
      <c r="E28" s="8" t="s">
        <v>235</v>
      </c>
      <c r="F28" s="8" t="s">
        <v>538</v>
      </c>
      <c r="G28" s="8">
        <v>1</v>
      </c>
      <c r="H28" s="9" t="s">
        <v>540</v>
      </c>
    </row>
    <row r="29" spans="1:8" x14ac:dyDescent="0.25">
      <c r="A29" s="7">
        <v>27</v>
      </c>
      <c r="B29" s="8" t="s">
        <v>968</v>
      </c>
      <c r="C29" s="8" t="s">
        <v>542</v>
      </c>
      <c r="D29" s="8" t="s">
        <v>543</v>
      </c>
      <c r="E29" s="8" t="s">
        <v>235</v>
      </c>
      <c r="F29" s="8" t="s">
        <v>544</v>
      </c>
      <c r="G29" s="8">
        <v>1</v>
      </c>
      <c r="H29" s="9" t="s">
        <v>546</v>
      </c>
    </row>
    <row r="30" spans="1:8" x14ac:dyDescent="0.25">
      <c r="A30" s="7">
        <v>28</v>
      </c>
      <c r="B30" s="8" t="s">
        <v>968</v>
      </c>
      <c r="C30" s="8" t="s">
        <v>517</v>
      </c>
      <c r="D30" s="8" t="s">
        <v>548</v>
      </c>
      <c r="E30" s="8" t="s">
        <v>235</v>
      </c>
      <c r="F30" s="8" t="s">
        <v>548</v>
      </c>
      <c r="G30" s="8">
        <v>1</v>
      </c>
      <c r="H30" s="9" t="s">
        <v>550</v>
      </c>
    </row>
    <row r="31" spans="1:8" x14ac:dyDescent="0.25">
      <c r="A31" s="7">
        <v>29</v>
      </c>
      <c r="B31" s="8" t="s">
        <v>968</v>
      </c>
      <c r="C31" s="8" t="s">
        <v>517</v>
      </c>
      <c r="D31" s="8" t="s">
        <v>552</v>
      </c>
      <c r="E31" s="8" t="s">
        <v>235</v>
      </c>
      <c r="F31" s="8" t="s">
        <v>553</v>
      </c>
      <c r="G31" s="8">
        <v>1</v>
      </c>
      <c r="H31" s="9" t="s">
        <v>555</v>
      </c>
    </row>
    <row r="32" spans="1:8" x14ac:dyDescent="0.25">
      <c r="A32" s="7">
        <v>30</v>
      </c>
      <c r="B32" s="8" t="s">
        <v>968</v>
      </c>
      <c r="C32" s="8" t="s">
        <v>517</v>
      </c>
      <c r="D32" s="8" t="s">
        <v>557</v>
      </c>
      <c r="E32" s="8" t="s">
        <v>235</v>
      </c>
      <c r="F32" s="8" t="s">
        <v>557</v>
      </c>
      <c r="G32" s="8">
        <v>1</v>
      </c>
      <c r="H32" s="9" t="s">
        <v>559</v>
      </c>
    </row>
    <row r="33" spans="1:8" x14ac:dyDescent="0.25">
      <c r="A33" s="7">
        <v>31</v>
      </c>
      <c r="B33" s="8" t="s">
        <v>968</v>
      </c>
      <c r="C33" s="8" t="s">
        <v>517</v>
      </c>
      <c r="D33" s="8" t="s">
        <v>561</v>
      </c>
      <c r="E33" s="8" t="s">
        <v>235</v>
      </c>
      <c r="F33" s="8" t="s">
        <v>561</v>
      </c>
      <c r="G33" s="8">
        <v>1</v>
      </c>
      <c r="H33" s="9" t="s">
        <v>563</v>
      </c>
    </row>
    <row r="34" spans="1:8" x14ac:dyDescent="0.25">
      <c r="A34" s="7">
        <v>32</v>
      </c>
      <c r="B34" s="8" t="s">
        <v>968</v>
      </c>
      <c r="C34" s="8" t="s">
        <v>136</v>
      </c>
      <c r="D34" s="8" t="s">
        <v>647</v>
      </c>
      <c r="E34" s="8" t="s">
        <v>648</v>
      </c>
      <c r="F34" s="8" t="s">
        <v>649</v>
      </c>
      <c r="G34" s="8">
        <v>1</v>
      </c>
      <c r="H34" s="9" t="s">
        <v>651</v>
      </c>
    </row>
    <row r="35" spans="1:8" x14ac:dyDescent="0.25">
      <c r="A35" s="7">
        <v>33</v>
      </c>
      <c r="B35" s="8"/>
      <c r="C35" s="8" t="s">
        <v>708</v>
      </c>
      <c r="D35" s="8" t="s">
        <v>709</v>
      </c>
      <c r="E35" s="8" t="s">
        <v>710</v>
      </c>
      <c r="F35" s="8" t="s">
        <v>709</v>
      </c>
      <c r="G35" s="8">
        <v>1</v>
      </c>
      <c r="H35" s="9" t="s">
        <v>712</v>
      </c>
    </row>
    <row r="36" spans="1:8" x14ac:dyDescent="0.25">
      <c r="A36" s="7">
        <v>34</v>
      </c>
      <c r="B36" s="8"/>
      <c r="C36" s="8" t="s">
        <v>708</v>
      </c>
      <c r="D36" s="8" t="s">
        <v>714</v>
      </c>
      <c r="E36" s="8" t="s">
        <v>710</v>
      </c>
      <c r="F36" s="8" t="s">
        <v>714</v>
      </c>
      <c r="G36" s="8">
        <v>1</v>
      </c>
      <c r="H36" s="9" t="s">
        <v>712</v>
      </c>
    </row>
    <row r="37" spans="1:8" x14ac:dyDescent="0.25">
      <c r="A37" s="7">
        <v>35</v>
      </c>
      <c r="B37" s="8"/>
      <c r="C37" s="8" t="s">
        <v>708</v>
      </c>
      <c r="D37" s="8" t="s">
        <v>716</v>
      </c>
      <c r="E37" s="8" t="s">
        <v>710</v>
      </c>
      <c r="F37" s="8" t="s">
        <v>716</v>
      </c>
      <c r="G37" s="8">
        <v>1</v>
      </c>
      <c r="H37" s="9" t="s">
        <v>712</v>
      </c>
    </row>
    <row r="38" spans="1:8" x14ac:dyDescent="0.25">
      <c r="A38" s="7">
        <v>36</v>
      </c>
      <c r="B38" s="8"/>
      <c r="C38" s="8" t="s">
        <v>708</v>
      </c>
      <c r="D38" s="8" t="s">
        <v>718</v>
      </c>
      <c r="E38" s="8" t="s">
        <v>710</v>
      </c>
      <c r="F38" s="8" t="s">
        <v>718</v>
      </c>
      <c r="G38" s="8">
        <v>1</v>
      </c>
      <c r="H38" s="9" t="s">
        <v>712</v>
      </c>
    </row>
    <row r="39" spans="1:8" x14ac:dyDescent="0.25">
      <c r="A39" s="7">
        <v>37</v>
      </c>
      <c r="B39" s="8"/>
      <c r="C39" s="8" t="s">
        <v>708</v>
      </c>
      <c r="D39" s="8" t="s">
        <v>720</v>
      </c>
      <c r="E39" s="8" t="s">
        <v>710</v>
      </c>
      <c r="F39" s="8" t="s">
        <v>720</v>
      </c>
      <c r="G39" s="8">
        <v>1</v>
      </c>
      <c r="H39" s="9" t="s">
        <v>712</v>
      </c>
    </row>
    <row r="40" spans="1:8" x14ac:dyDescent="0.25">
      <c r="A40" s="7">
        <v>38</v>
      </c>
      <c r="B40" s="8"/>
      <c r="C40" s="8" t="s">
        <v>708</v>
      </c>
      <c r="D40" s="8" t="s">
        <v>722</v>
      </c>
      <c r="E40" s="8" t="s">
        <v>710</v>
      </c>
      <c r="F40" s="8" t="s">
        <v>722</v>
      </c>
      <c r="G40" s="8">
        <v>1</v>
      </c>
      <c r="H40" s="9" t="s">
        <v>712</v>
      </c>
    </row>
    <row r="41" spans="1:8" x14ac:dyDescent="0.25">
      <c r="A41" s="7">
        <v>39</v>
      </c>
      <c r="B41" s="8" t="s">
        <v>968</v>
      </c>
      <c r="C41" s="8" t="s">
        <v>755</v>
      </c>
      <c r="D41" s="8" t="s">
        <v>756</v>
      </c>
      <c r="E41" s="8" t="s">
        <v>489</v>
      </c>
      <c r="F41" s="8" t="s">
        <v>757</v>
      </c>
      <c r="G41" s="8">
        <v>1</v>
      </c>
      <c r="H41" s="9" t="s">
        <v>759</v>
      </c>
    </row>
    <row r="42" spans="1:8" x14ac:dyDescent="0.25">
      <c r="A42" s="7">
        <v>40</v>
      </c>
      <c r="B42" s="8"/>
      <c r="C42" s="8" t="s">
        <v>136</v>
      </c>
      <c r="D42" s="8" t="s">
        <v>766</v>
      </c>
      <c r="E42" s="8" t="s">
        <v>235</v>
      </c>
      <c r="F42" s="8" t="s">
        <v>767</v>
      </c>
      <c r="G42" s="8">
        <v>1</v>
      </c>
      <c r="H42" s="9" t="s">
        <v>769</v>
      </c>
    </row>
    <row r="43" spans="1:8" x14ac:dyDescent="0.25">
      <c r="A43" s="7">
        <v>41</v>
      </c>
      <c r="B43" s="8"/>
      <c r="C43" s="8" t="s">
        <v>776</v>
      </c>
      <c r="D43" s="8" t="s">
        <v>777</v>
      </c>
      <c r="E43" s="8" t="s">
        <v>229</v>
      </c>
      <c r="F43" s="8" t="s">
        <v>777</v>
      </c>
      <c r="G43" s="8">
        <v>1</v>
      </c>
      <c r="H43" s="9" t="s">
        <v>779</v>
      </c>
    </row>
    <row r="44" spans="1:8" x14ac:dyDescent="0.25">
      <c r="A44" s="7">
        <v>42</v>
      </c>
      <c r="B44" s="8"/>
      <c r="C44" s="8" t="s">
        <v>781</v>
      </c>
      <c r="D44" s="8" t="s">
        <v>782</v>
      </c>
      <c r="E44" s="8" t="s">
        <v>229</v>
      </c>
      <c r="F44" s="8" t="s">
        <v>782</v>
      </c>
      <c r="G44" s="8">
        <v>1</v>
      </c>
      <c r="H44" s="9" t="s">
        <v>784</v>
      </c>
    </row>
    <row r="45" spans="1:8" x14ac:dyDescent="0.25">
      <c r="A45" s="7">
        <v>43</v>
      </c>
      <c r="B45" s="8"/>
      <c r="C45" s="8" t="s">
        <v>786</v>
      </c>
      <c r="D45" s="8" t="s">
        <v>787</v>
      </c>
      <c r="E45" s="8" t="s">
        <v>271</v>
      </c>
      <c r="F45" s="8" t="s">
        <v>788</v>
      </c>
      <c r="G45" s="8">
        <v>1</v>
      </c>
      <c r="H45" s="9" t="s">
        <v>790</v>
      </c>
    </row>
    <row r="46" spans="1:8" x14ac:dyDescent="0.25">
      <c r="A46" s="7">
        <v>44</v>
      </c>
      <c r="B46" s="8" t="s">
        <v>982</v>
      </c>
      <c r="C46" s="8" t="s">
        <v>212</v>
      </c>
      <c r="D46" s="8" t="s">
        <v>808</v>
      </c>
      <c r="E46" s="8" t="s">
        <v>60</v>
      </c>
      <c r="F46" s="8" t="s">
        <v>809</v>
      </c>
      <c r="G46" s="8">
        <v>1</v>
      </c>
      <c r="H46" s="9" t="s">
        <v>813</v>
      </c>
    </row>
    <row r="47" spans="1:8" x14ac:dyDescent="0.25">
      <c r="A47" s="7">
        <v>45</v>
      </c>
      <c r="B47" s="8" t="s">
        <v>982</v>
      </c>
      <c r="C47" s="8" t="s">
        <v>212</v>
      </c>
      <c r="D47" s="8" t="s">
        <v>808</v>
      </c>
      <c r="E47" s="8" t="s">
        <v>60</v>
      </c>
      <c r="F47" s="8" t="s">
        <v>810</v>
      </c>
      <c r="G47" s="8">
        <v>1</v>
      </c>
      <c r="H47" s="9" t="s">
        <v>813</v>
      </c>
    </row>
    <row r="48" spans="1:8" x14ac:dyDescent="0.25">
      <c r="A48" s="7">
        <v>46</v>
      </c>
      <c r="B48" s="8" t="s">
        <v>982</v>
      </c>
      <c r="C48" s="8" t="s">
        <v>212</v>
      </c>
      <c r="D48" s="8" t="s">
        <v>808</v>
      </c>
      <c r="E48" s="8" t="s">
        <v>60</v>
      </c>
      <c r="F48" s="8" t="s">
        <v>811</v>
      </c>
      <c r="G48" s="8">
        <v>1</v>
      </c>
      <c r="H48" s="9" t="s">
        <v>813</v>
      </c>
    </row>
    <row r="49" spans="1:8" x14ac:dyDescent="0.25">
      <c r="A49" s="7">
        <v>47</v>
      </c>
      <c r="B49" s="8"/>
      <c r="C49" s="8" t="s">
        <v>136</v>
      </c>
      <c r="D49" s="8" t="s">
        <v>830</v>
      </c>
      <c r="E49" s="8" t="s">
        <v>831</v>
      </c>
      <c r="F49" s="8" t="s">
        <v>832</v>
      </c>
      <c r="G49" s="8">
        <v>1</v>
      </c>
      <c r="H49" s="9" t="s">
        <v>834</v>
      </c>
    </row>
    <row r="50" spans="1:8" x14ac:dyDescent="0.25">
      <c r="A50" s="7">
        <v>48</v>
      </c>
      <c r="B50" s="8"/>
      <c r="C50" s="8" t="s">
        <v>849</v>
      </c>
      <c r="D50" s="8" t="s">
        <v>850</v>
      </c>
      <c r="E50" s="8" t="s">
        <v>851</v>
      </c>
      <c r="F50" s="8" t="s">
        <v>852</v>
      </c>
      <c r="G50" s="8">
        <v>1</v>
      </c>
      <c r="H50" s="9" t="s">
        <v>854</v>
      </c>
    </row>
    <row r="51" spans="1:8" x14ac:dyDescent="0.25">
      <c r="A51" s="7">
        <v>49</v>
      </c>
      <c r="B51" s="8"/>
      <c r="C51" s="8" t="s">
        <v>849</v>
      </c>
      <c r="D51" s="8" t="s">
        <v>856</v>
      </c>
      <c r="E51" s="8" t="s">
        <v>851</v>
      </c>
      <c r="F51" s="8" t="s">
        <v>857</v>
      </c>
      <c r="G51" s="8">
        <v>1</v>
      </c>
      <c r="H51" s="9" t="s">
        <v>854</v>
      </c>
    </row>
    <row r="52" spans="1:8" x14ac:dyDescent="0.25">
      <c r="A52" s="7">
        <v>50</v>
      </c>
      <c r="B52" s="8"/>
      <c r="C52" s="8" t="s">
        <v>849</v>
      </c>
      <c r="D52" s="8" t="s">
        <v>856</v>
      </c>
      <c r="E52" s="8" t="s">
        <v>851</v>
      </c>
      <c r="F52" s="8" t="s">
        <v>858</v>
      </c>
      <c r="G52" s="8">
        <v>1</v>
      </c>
      <c r="H52" s="9" t="s">
        <v>854</v>
      </c>
    </row>
    <row r="53" spans="1:8" x14ac:dyDescent="0.25">
      <c r="A53" s="7">
        <v>51</v>
      </c>
      <c r="B53" s="8"/>
      <c r="C53" s="8" t="s">
        <v>849</v>
      </c>
      <c r="D53" s="8" t="s">
        <v>856</v>
      </c>
      <c r="E53" s="8" t="s">
        <v>851</v>
      </c>
      <c r="F53" s="8" t="s">
        <v>859</v>
      </c>
      <c r="G53" s="8">
        <v>1</v>
      </c>
      <c r="H53" s="9" t="s">
        <v>854</v>
      </c>
    </row>
    <row r="54" spans="1:8" x14ac:dyDescent="0.25">
      <c r="A54" s="7">
        <v>52</v>
      </c>
      <c r="B54" s="8"/>
      <c r="C54" s="8" t="s">
        <v>881</v>
      </c>
      <c r="D54" s="8" t="s">
        <v>481</v>
      </c>
      <c r="E54" s="8" t="s">
        <v>482</v>
      </c>
      <c r="F54" s="8" t="s">
        <v>483</v>
      </c>
      <c r="G54" s="8">
        <v>1</v>
      </c>
      <c r="H54" s="9" t="s">
        <v>413</v>
      </c>
    </row>
    <row r="55" spans="1:8" x14ac:dyDescent="0.25">
      <c r="A55" s="7">
        <v>53</v>
      </c>
      <c r="B55" s="8"/>
      <c r="C55" s="8" t="s">
        <v>899</v>
      </c>
      <c r="D55" s="8" t="s">
        <v>900</v>
      </c>
      <c r="E55" s="8" t="s">
        <v>271</v>
      </c>
      <c r="F55" s="8" t="s">
        <v>901</v>
      </c>
      <c r="G55" s="8">
        <v>1</v>
      </c>
      <c r="H55" s="9" t="s">
        <v>903</v>
      </c>
    </row>
    <row r="56" spans="1:8" ht="15.75" thickBot="1" x14ac:dyDescent="0.3">
      <c r="A56" s="10">
        <v>54</v>
      </c>
      <c r="B56" s="11"/>
      <c r="C56" s="11" t="s">
        <v>930</v>
      </c>
      <c r="D56" s="11" t="s">
        <v>931</v>
      </c>
      <c r="E56" s="11" t="s">
        <v>932</v>
      </c>
      <c r="F56" s="11" t="s">
        <v>933</v>
      </c>
      <c r="G56" s="11">
        <v>1</v>
      </c>
      <c r="H56" s="12" t="s">
        <v>935</v>
      </c>
    </row>
    <row r="57" spans="1:8" ht="15.75" thickBot="1" x14ac:dyDescent="0.3">
      <c r="G57" s="17">
        <f>SUM(G3:G56)</f>
        <v>54</v>
      </c>
    </row>
  </sheetData>
  <mergeCells count="1">
    <mergeCell ref="A1:H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6B9CF-7FF7-4271-BD2C-B2035A63F226}">
  <dimension ref="A1:H32"/>
  <sheetViews>
    <sheetView workbookViewId="0">
      <selection activeCell="B8" sqref="B8"/>
    </sheetView>
  </sheetViews>
  <sheetFormatPr defaultRowHeight="15" x14ac:dyDescent="0.25"/>
  <cols>
    <col min="1" max="1" width="7.140625" bestFit="1" customWidth="1"/>
    <col min="2" max="2" width="17" bestFit="1" customWidth="1"/>
    <col min="3" max="3" width="40.5703125" customWidth="1"/>
    <col min="4" max="4" width="32.140625" customWidth="1"/>
    <col min="5" max="5" width="33.28515625" customWidth="1"/>
    <col min="6" max="6" width="36.85546875" bestFit="1" customWidth="1"/>
    <col min="7" max="7" width="9" customWidth="1"/>
    <col min="8" max="8" width="31.28515625" bestFit="1" customWidth="1"/>
  </cols>
  <sheetData>
    <row r="1" spans="1:8" ht="21.75" thickBot="1" x14ac:dyDescent="0.4">
      <c r="A1" s="22" t="s">
        <v>985</v>
      </c>
      <c r="B1" s="23"/>
      <c r="C1" s="23"/>
      <c r="D1" s="23"/>
      <c r="E1" s="23"/>
      <c r="F1" s="23"/>
      <c r="G1" s="23"/>
      <c r="H1" s="24"/>
    </row>
    <row r="2" spans="1:8" ht="30" x14ac:dyDescent="0.25">
      <c r="A2" s="2" t="s">
        <v>937</v>
      </c>
      <c r="B2" s="3" t="s">
        <v>938</v>
      </c>
      <c r="C2" s="4" t="s">
        <v>939</v>
      </c>
      <c r="D2" s="4" t="s">
        <v>2</v>
      </c>
      <c r="E2" s="4" t="s">
        <v>940</v>
      </c>
      <c r="F2" s="4" t="s">
        <v>942</v>
      </c>
      <c r="G2" s="16" t="s">
        <v>941</v>
      </c>
      <c r="H2" s="6" t="s">
        <v>8</v>
      </c>
    </row>
    <row r="3" spans="1:8" x14ac:dyDescent="0.25">
      <c r="A3" s="7">
        <v>1</v>
      </c>
      <c r="B3" s="8" t="s">
        <v>983</v>
      </c>
      <c r="C3" s="8" t="s">
        <v>11</v>
      </c>
      <c r="D3" s="8" t="s">
        <v>12</v>
      </c>
      <c r="E3" s="8" t="s">
        <v>13</v>
      </c>
      <c r="F3" s="8" t="s">
        <v>14</v>
      </c>
      <c r="G3" s="8">
        <v>1</v>
      </c>
      <c r="H3" s="9" t="s">
        <v>16</v>
      </c>
    </row>
    <row r="4" spans="1:8" x14ac:dyDescent="0.25">
      <c r="A4" s="7">
        <v>2</v>
      </c>
      <c r="B4" s="8" t="s">
        <v>954</v>
      </c>
      <c r="C4" s="8" t="s">
        <v>130</v>
      </c>
      <c r="D4" s="8" t="s">
        <v>131</v>
      </c>
      <c r="E4" s="8" t="s">
        <v>132</v>
      </c>
      <c r="F4" s="8" t="s">
        <v>132</v>
      </c>
      <c r="G4" s="8">
        <v>1</v>
      </c>
      <c r="H4" s="9" t="s">
        <v>134</v>
      </c>
    </row>
    <row r="5" spans="1:8" x14ac:dyDescent="0.25">
      <c r="A5" s="7">
        <v>3</v>
      </c>
      <c r="B5" s="8" t="s">
        <v>983</v>
      </c>
      <c r="C5" s="8" t="s">
        <v>227</v>
      </c>
      <c r="D5" s="8" t="s">
        <v>228</v>
      </c>
      <c r="E5" s="8" t="s">
        <v>229</v>
      </c>
      <c r="F5" s="8" t="s">
        <v>228</v>
      </c>
      <c r="G5" s="8">
        <v>1</v>
      </c>
      <c r="H5" s="9" t="s">
        <v>231</v>
      </c>
    </row>
    <row r="6" spans="1:8" x14ac:dyDescent="0.25">
      <c r="A6" s="7">
        <v>4</v>
      </c>
      <c r="B6" s="8" t="s">
        <v>983</v>
      </c>
      <c r="C6" s="8" t="s">
        <v>233</v>
      </c>
      <c r="D6" s="8" t="s">
        <v>234</v>
      </c>
      <c r="E6" s="8" t="s">
        <v>235</v>
      </c>
      <c r="F6" s="8" t="s">
        <v>236</v>
      </c>
      <c r="G6" s="8">
        <v>1</v>
      </c>
      <c r="H6" s="9" t="s">
        <v>238</v>
      </c>
    </row>
    <row r="7" spans="1:8" x14ac:dyDescent="0.25">
      <c r="A7" s="7">
        <v>5</v>
      </c>
      <c r="B7" s="8" t="s">
        <v>989</v>
      </c>
      <c r="C7" s="8" t="s">
        <v>269</v>
      </c>
      <c r="D7" s="8" t="s">
        <v>270</v>
      </c>
      <c r="E7" s="8" t="s">
        <v>271</v>
      </c>
      <c r="F7" s="8" t="s">
        <v>272</v>
      </c>
      <c r="G7" s="8">
        <v>1</v>
      </c>
      <c r="H7" s="9" t="s">
        <v>274</v>
      </c>
    </row>
    <row r="8" spans="1:8" x14ac:dyDescent="0.25">
      <c r="A8" s="7">
        <v>6</v>
      </c>
      <c r="B8" s="8" t="s">
        <v>983</v>
      </c>
      <c r="C8" s="8" t="s">
        <v>314</v>
      </c>
      <c r="D8" s="8" t="s">
        <v>315</v>
      </c>
      <c r="E8" s="8" t="s">
        <v>235</v>
      </c>
      <c r="F8" s="8" t="s">
        <v>316</v>
      </c>
      <c r="G8" s="8">
        <v>1</v>
      </c>
      <c r="H8" s="9" t="s">
        <v>318</v>
      </c>
    </row>
    <row r="9" spans="1:8" x14ac:dyDescent="0.25">
      <c r="A9" s="7">
        <v>7</v>
      </c>
      <c r="B9" s="8" t="s">
        <v>983</v>
      </c>
      <c r="C9" s="8" t="s">
        <v>324</v>
      </c>
      <c r="D9" s="8" t="s">
        <v>325</v>
      </c>
      <c r="E9" s="8" t="s">
        <v>326</v>
      </c>
      <c r="F9" s="8" t="s">
        <v>327</v>
      </c>
      <c r="G9" s="8">
        <v>1</v>
      </c>
      <c r="H9" s="9" t="s">
        <v>329</v>
      </c>
    </row>
    <row r="10" spans="1:8" x14ac:dyDescent="0.25">
      <c r="A10" s="7">
        <v>8</v>
      </c>
      <c r="B10" s="8" t="s">
        <v>983</v>
      </c>
      <c r="C10" s="8" t="s">
        <v>350</v>
      </c>
      <c r="D10" s="8" t="s">
        <v>351</v>
      </c>
      <c r="E10" s="8" t="s">
        <v>326</v>
      </c>
      <c r="F10" s="8" t="s">
        <v>351</v>
      </c>
      <c r="G10" s="8">
        <v>1</v>
      </c>
      <c r="H10" s="9" t="s">
        <v>353</v>
      </c>
    </row>
    <row r="11" spans="1:8" x14ac:dyDescent="0.25">
      <c r="A11" s="7">
        <v>9</v>
      </c>
      <c r="B11" s="8" t="s">
        <v>983</v>
      </c>
      <c r="C11" s="8" t="s">
        <v>355</v>
      </c>
      <c r="D11" s="8" t="s">
        <v>356</v>
      </c>
      <c r="E11" s="8" t="s">
        <v>326</v>
      </c>
      <c r="F11" s="8" t="s">
        <v>356</v>
      </c>
      <c r="G11" s="8">
        <v>1</v>
      </c>
      <c r="H11" s="9" t="s">
        <v>358</v>
      </c>
    </row>
    <row r="12" spans="1:8" x14ac:dyDescent="0.25">
      <c r="A12" s="7">
        <v>10</v>
      </c>
      <c r="B12" s="8" t="s">
        <v>983</v>
      </c>
      <c r="C12" s="8" t="s">
        <v>369</v>
      </c>
      <c r="D12" s="8" t="s">
        <v>370</v>
      </c>
      <c r="E12" s="8" t="s">
        <v>326</v>
      </c>
      <c r="F12" s="8" t="s">
        <v>370</v>
      </c>
      <c r="G12" s="8">
        <v>1</v>
      </c>
      <c r="H12" s="9" t="s">
        <v>372</v>
      </c>
    </row>
    <row r="13" spans="1:8" x14ac:dyDescent="0.25">
      <c r="A13" s="7">
        <v>11</v>
      </c>
      <c r="B13" s="8" t="s">
        <v>983</v>
      </c>
      <c r="C13" s="8" t="s">
        <v>427</v>
      </c>
      <c r="D13" s="8" t="s">
        <v>428</v>
      </c>
      <c r="E13" s="8" t="s">
        <v>429</v>
      </c>
      <c r="F13" s="8" t="s">
        <v>430</v>
      </c>
      <c r="G13" s="8">
        <v>1</v>
      </c>
      <c r="H13" s="9" t="s">
        <v>432</v>
      </c>
    </row>
    <row r="14" spans="1:8" x14ac:dyDescent="0.25">
      <c r="A14" s="7">
        <v>12</v>
      </c>
      <c r="B14" s="8" t="s">
        <v>983</v>
      </c>
      <c r="C14" s="8" t="s">
        <v>487</v>
      </c>
      <c r="D14" s="8" t="s">
        <v>488</v>
      </c>
      <c r="E14" s="8" t="s">
        <v>489</v>
      </c>
      <c r="F14" s="8" t="s">
        <v>490</v>
      </c>
      <c r="G14" s="8">
        <v>1</v>
      </c>
      <c r="H14" s="9" t="s">
        <v>494</v>
      </c>
    </row>
    <row r="15" spans="1:8" x14ac:dyDescent="0.25">
      <c r="A15" s="7">
        <v>13</v>
      </c>
      <c r="B15" s="8" t="s">
        <v>983</v>
      </c>
      <c r="C15" s="8" t="s">
        <v>487</v>
      </c>
      <c r="D15" s="8" t="s">
        <v>488</v>
      </c>
      <c r="E15" s="8" t="s">
        <v>489</v>
      </c>
      <c r="F15" s="8" t="s">
        <v>491</v>
      </c>
      <c r="G15" s="8">
        <v>1</v>
      </c>
      <c r="H15" s="9" t="s">
        <v>494</v>
      </c>
    </row>
    <row r="16" spans="1:8" x14ac:dyDescent="0.25">
      <c r="A16" s="7">
        <v>14</v>
      </c>
      <c r="B16" s="8" t="s">
        <v>983</v>
      </c>
      <c r="C16" s="8" t="s">
        <v>487</v>
      </c>
      <c r="D16" s="8" t="s">
        <v>488</v>
      </c>
      <c r="E16" s="8" t="s">
        <v>489</v>
      </c>
      <c r="F16" s="8" t="s">
        <v>492</v>
      </c>
      <c r="G16" s="8">
        <v>1</v>
      </c>
      <c r="H16" s="9" t="s">
        <v>494</v>
      </c>
    </row>
    <row r="17" spans="1:8" x14ac:dyDescent="0.25">
      <c r="A17" s="7">
        <v>15</v>
      </c>
      <c r="B17" s="8" t="s">
        <v>983</v>
      </c>
      <c r="C17" s="8" t="s">
        <v>517</v>
      </c>
      <c r="D17" s="8" t="s">
        <v>518</v>
      </c>
      <c r="E17" s="8" t="s">
        <v>235</v>
      </c>
      <c r="F17" s="8" t="s">
        <v>519</v>
      </c>
      <c r="G17" s="8">
        <v>1</v>
      </c>
      <c r="H17" s="9" t="s">
        <v>521</v>
      </c>
    </row>
    <row r="18" spans="1:8" x14ac:dyDescent="0.25">
      <c r="A18" s="7">
        <v>16</v>
      </c>
      <c r="B18" s="8" t="s">
        <v>983</v>
      </c>
      <c r="C18" s="8" t="s">
        <v>517</v>
      </c>
      <c r="D18" s="8" t="s">
        <v>523</v>
      </c>
      <c r="E18" s="8" t="s">
        <v>235</v>
      </c>
      <c r="F18" s="8" t="s">
        <v>524</v>
      </c>
      <c r="G18" s="8">
        <v>1</v>
      </c>
      <c r="H18" s="9" t="s">
        <v>526</v>
      </c>
    </row>
    <row r="19" spans="1:8" x14ac:dyDescent="0.25">
      <c r="A19" s="7">
        <v>17</v>
      </c>
      <c r="B19" s="8" t="s">
        <v>983</v>
      </c>
      <c r="C19" s="8" t="s">
        <v>517</v>
      </c>
      <c r="D19" s="8" t="s">
        <v>528</v>
      </c>
      <c r="E19" s="8" t="s">
        <v>235</v>
      </c>
      <c r="F19" s="8" t="s">
        <v>529</v>
      </c>
      <c r="G19" s="8">
        <v>1</v>
      </c>
      <c r="H19" s="9" t="s">
        <v>531</v>
      </c>
    </row>
    <row r="20" spans="1:8" x14ac:dyDescent="0.25">
      <c r="A20" s="7">
        <v>18</v>
      </c>
      <c r="B20" s="8" t="s">
        <v>983</v>
      </c>
      <c r="C20" s="8" t="s">
        <v>517</v>
      </c>
      <c r="D20" s="8" t="s">
        <v>533</v>
      </c>
      <c r="E20" s="8" t="s">
        <v>235</v>
      </c>
      <c r="F20" s="8" t="s">
        <v>534</v>
      </c>
      <c r="G20" s="8">
        <v>1</v>
      </c>
      <c r="H20" s="9" t="s">
        <v>536</v>
      </c>
    </row>
    <row r="21" spans="1:8" x14ac:dyDescent="0.25">
      <c r="A21" s="7">
        <v>19</v>
      </c>
      <c r="B21" s="8" t="s">
        <v>983</v>
      </c>
      <c r="C21" s="8" t="s">
        <v>517</v>
      </c>
      <c r="D21" s="8" t="s">
        <v>538</v>
      </c>
      <c r="E21" s="8" t="s">
        <v>235</v>
      </c>
      <c r="F21" s="8" t="s">
        <v>538</v>
      </c>
      <c r="G21" s="8">
        <v>1</v>
      </c>
      <c r="H21" s="9" t="s">
        <v>540</v>
      </c>
    </row>
    <row r="22" spans="1:8" x14ac:dyDescent="0.25">
      <c r="A22" s="7">
        <v>20</v>
      </c>
      <c r="B22" s="8" t="s">
        <v>983</v>
      </c>
      <c r="C22" s="8" t="s">
        <v>542</v>
      </c>
      <c r="D22" s="8" t="s">
        <v>543</v>
      </c>
      <c r="E22" s="8" t="s">
        <v>235</v>
      </c>
      <c r="F22" s="8" t="s">
        <v>544</v>
      </c>
      <c r="G22" s="8">
        <v>1</v>
      </c>
      <c r="H22" s="9" t="s">
        <v>546</v>
      </c>
    </row>
    <row r="23" spans="1:8" x14ac:dyDescent="0.25">
      <c r="A23" s="7">
        <v>21</v>
      </c>
      <c r="B23" s="8" t="s">
        <v>983</v>
      </c>
      <c r="C23" s="8" t="s">
        <v>517</v>
      </c>
      <c r="D23" s="8" t="s">
        <v>548</v>
      </c>
      <c r="E23" s="8" t="s">
        <v>235</v>
      </c>
      <c r="F23" s="8" t="s">
        <v>548</v>
      </c>
      <c r="G23" s="8">
        <v>1</v>
      </c>
      <c r="H23" s="9" t="s">
        <v>550</v>
      </c>
    </row>
    <row r="24" spans="1:8" x14ac:dyDescent="0.25">
      <c r="A24" s="7">
        <v>22</v>
      </c>
      <c r="B24" s="8" t="s">
        <v>983</v>
      </c>
      <c r="C24" s="8" t="s">
        <v>517</v>
      </c>
      <c r="D24" s="8" t="s">
        <v>552</v>
      </c>
      <c r="E24" s="8" t="s">
        <v>235</v>
      </c>
      <c r="F24" s="8" t="s">
        <v>553</v>
      </c>
      <c r="G24" s="8">
        <v>1</v>
      </c>
      <c r="H24" s="9" t="s">
        <v>555</v>
      </c>
    </row>
    <row r="25" spans="1:8" x14ac:dyDescent="0.25">
      <c r="A25" s="7">
        <v>23</v>
      </c>
      <c r="B25" s="8" t="s">
        <v>983</v>
      </c>
      <c r="C25" s="8" t="s">
        <v>517</v>
      </c>
      <c r="D25" s="8" t="s">
        <v>557</v>
      </c>
      <c r="E25" s="8" t="s">
        <v>235</v>
      </c>
      <c r="F25" s="8" t="s">
        <v>557</v>
      </c>
      <c r="G25" s="8">
        <v>1</v>
      </c>
      <c r="H25" s="9" t="s">
        <v>559</v>
      </c>
    </row>
    <row r="26" spans="1:8" x14ac:dyDescent="0.25">
      <c r="A26" s="7">
        <v>24</v>
      </c>
      <c r="B26" s="8" t="s">
        <v>983</v>
      </c>
      <c r="C26" s="8" t="s">
        <v>517</v>
      </c>
      <c r="D26" s="8" t="s">
        <v>561</v>
      </c>
      <c r="E26" s="8" t="s">
        <v>235</v>
      </c>
      <c r="F26" s="8" t="s">
        <v>561</v>
      </c>
      <c r="G26" s="8">
        <v>1</v>
      </c>
      <c r="H26" s="9" t="s">
        <v>563</v>
      </c>
    </row>
    <row r="27" spans="1:8" x14ac:dyDescent="0.25">
      <c r="A27" s="7">
        <v>25</v>
      </c>
      <c r="B27" s="8" t="s">
        <v>983</v>
      </c>
      <c r="C27" s="8" t="s">
        <v>136</v>
      </c>
      <c r="D27" s="8" t="s">
        <v>647</v>
      </c>
      <c r="E27" s="8" t="s">
        <v>648</v>
      </c>
      <c r="F27" s="8" t="s">
        <v>649</v>
      </c>
      <c r="G27" s="8">
        <v>1</v>
      </c>
      <c r="H27" s="9" t="s">
        <v>651</v>
      </c>
    </row>
    <row r="28" spans="1:8" x14ac:dyDescent="0.25">
      <c r="A28" s="7">
        <v>26</v>
      </c>
      <c r="B28" s="8" t="s">
        <v>983</v>
      </c>
      <c r="C28" s="8" t="s">
        <v>755</v>
      </c>
      <c r="D28" s="8" t="s">
        <v>756</v>
      </c>
      <c r="E28" s="8" t="s">
        <v>489</v>
      </c>
      <c r="F28" s="8" t="s">
        <v>757</v>
      </c>
      <c r="G28" s="8">
        <v>1</v>
      </c>
      <c r="H28" s="9" t="s">
        <v>759</v>
      </c>
    </row>
    <row r="29" spans="1:8" x14ac:dyDescent="0.25">
      <c r="A29" s="7">
        <v>27</v>
      </c>
      <c r="B29" s="8" t="s">
        <v>984</v>
      </c>
      <c r="C29" s="8" t="s">
        <v>212</v>
      </c>
      <c r="D29" s="8" t="s">
        <v>808</v>
      </c>
      <c r="E29" s="8" t="s">
        <v>60</v>
      </c>
      <c r="F29" s="8" t="s">
        <v>809</v>
      </c>
      <c r="G29" s="8">
        <v>1</v>
      </c>
      <c r="H29" s="9" t="s">
        <v>813</v>
      </c>
    </row>
    <row r="30" spans="1:8" x14ac:dyDescent="0.25">
      <c r="A30" s="7">
        <v>28</v>
      </c>
      <c r="B30" s="8" t="s">
        <v>984</v>
      </c>
      <c r="C30" s="8" t="s">
        <v>212</v>
      </c>
      <c r="D30" s="8" t="s">
        <v>808</v>
      </c>
      <c r="E30" s="8" t="s">
        <v>60</v>
      </c>
      <c r="F30" s="8" t="s">
        <v>810</v>
      </c>
      <c r="G30" s="8">
        <v>1</v>
      </c>
      <c r="H30" s="9" t="s">
        <v>813</v>
      </c>
    </row>
    <row r="31" spans="1:8" ht="15.75" thickBot="1" x14ac:dyDescent="0.3">
      <c r="A31" s="10">
        <v>29</v>
      </c>
      <c r="B31" s="11" t="s">
        <v>984</v>
      </c>
      <c r="C31" s="11" t="s">
        <v>212</v>
      </c>
      <c r="D31" s="11" t="s">
        <v>808</v>
      </c>
      <c r="E31" s="11" t="s">
        <v>60</v>
      </c>
      <c r="F31" s="11" t="s">
        <v>811</v>
      </c>
      <c r="G31" s="11">
        <v>1</v>
      </c>
      <c r="H31" s="12" t="s">
        <v>813</v>
      </c>
    </row>
    <row r="32" spans="1:8" x14ac:dyDescent="0.25">
      <c r="G32">
        <f>SUM(G3:G31)</f>
        <v>29</v>
      </c>
    </row>
  </sheetData>
  <mergeCells count="1">
    <mergeCell ref="A1:H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431C2-B863-49A7-BC78-DAF2C02D972E}">
  <dimension ref="A1:H28"/>
  <sheetViews>
    <sheetView workbookViewId="0">
      <selection activeCell="D32" sqref="D32"/>
    </sheetView>
  </sheetViews>
  <sheetFormatPr defaultRowHeight="15" x14ac:dyDescent="0.25"/>
  <cols>
    <col min="1" max="1" width="7.140625" bestFit="1" customWidth="1"/>
    <col min="2" max="2" width="16.28515625" bestFit="1" customWidth="1"/>
    <col min="3" max="3" width="40" bestFit="1" customWidth="1"/>
    <col min="4" max="4" width="32.7109375" bestFit="1" customWidth="1"/>
    <col min="5" max="5" width="40" bestFit="1" customWidth="1"/>
    <col min="6" max="6" width="31.42578125" bestFit="1" customWidth="1"/>
    <col min="7" max="7" width="9.140625" customWidth="1"/>
    <col min="8" max="8" width="28.140625" bestFit="1" customWidth="1"/>
  </cols>
  <sheetData>
    <row r="1" spans="1:8" ht="21.75" thickBot="1" x14ac:dyDescent="0.4">
      <c r="A1" s="22" t="s">
        <v>986</v>
      </c>
      <c r="B1" s="23"/>
      <c r="C1" s="23"/>
      <c r="D1" s="23"/>
      <c r="E1" s="23"/>
      <c r="F1" s="23"/>
      <c r="G1" s="23"/>
      <c r="H1" s="24"/>
    </row>
    <row r="2" spans="1:8" ht="30" x14ac:dyDescent="0.25">
      <c r="A2" s="2" t="s">
        <v>937</v>
      </c>
      <c r="B2" s="3" t="s">
        <v>938</v>
      </c>
      <c r="C2" s="4" t="s">
        <v>939</v>
      </c>
      <c r="D2" s="4" t="s">
        <v>2</v>
      </c>
      <c r="E2" s="4" t="s">
        <v>940</v>
      </c>
      <c r="F2" s="4" t="s">
        <v>942</v>
      </c>
      <c r="G2" s="16" t="s">
        <v>941</v>
      </c>
      <c r="H2" s="6" t="s">
        <v>8</v>
      </c>
    </row>
    <row r="3" spans="1:8" x14ac:dyDescent="0.25">
      <c r="A3" s="7">
        <v>1</v>
      </c>
      <c r="B3" s="8"/>
      <c r="C3" s="8" t="s">
        <v>198</v>
      </c>
      <c r="D3" s="8" t="s">
        <v>199</v>
      </c>
      <c r="E3" s="8" t="s">
        <v>200</v>
      </c>
      <c r="F3" s="8" t="s">
        <v>201</v>
      </c>
      <c r="G3" s="8">
        <v>1</v>
      </c>
      <c r="H3" s="9" t="s">
        <v>203</v>
      </c>
    </row>
    <row r="4" spans="1:8" x14ac:dyDescent="0.25">
      <c r="A4" s="7">
        <v>2</v>
      </c>
      <c r="B4" s="8"/>
      <c r="C4" s="8" t="s">
        <v>205</v>
      </c>
      <c r="D4" s="8" t="s">
        <v>206</v>
      </c>
      <c r="E4" s="8" t="s">
        <v>207</v>
      </c>
      <c r="F4" s="8" t="s">
        <v>208</v>
      </c>
      <c r="G4" s="8">
        <v>1</v>
      </c>
      <c r="H4" s="9" t="s">
        <v>210</v>
      </c>
    </row>
    <row r="5" spans="1:8" x14ac:dyDescent="0.25">
      <c r="A5" s="7">
        <v>3</v>
      </c>
      <c r="B5" s="8"/>
      <c r="C5" s="8" t="s">
        <v>240</v>
      </c>
      <c r="D5" s="8" t="s">
        <v>241</v>
      </c>
      <c r="E5" s="8" t="s">
        <v>242</v>
      </c>
      <c r="F5" s="8" t="s">
        <v>243</v>
      </c>
      <c r="G5" s="8">
        <v>1</v>
      </c>
      <c r="H5" s="9" t="s">
        <v>245</v>
      </c>
    </row>
    <row r="6" spans="1:8" x14ac:dyDescent="0.25">
      <c r="A6" s="7">
        <v>4</v>
      </c>
      <c r="B6" s="8" t="s">
        <v>987</v>
      </c>
      <c r="C6" s="8" t="s">
        <v>269</v>
      </c>
      <c r="D6" s="8" t="s">
        <v>270</v>
      </c>
      <c r="E6" s="8" t="s">
        <v>271</v>
      </c>
      <c r="F6" s="8" t="s">
        <v>272</v>
      </c>
      <c r="G6" s="8">
        <v>1</v>
      </c>
      <c r="H6" s="9" t="s">
        <v>274</v>
      </c>
    </row>
    <row r="7" spans="1:8" x14ac:dyDescent="0.25">
      <c r="A7" s="7">
        <v>5</v>
      </c>
      <c r="B7" s="8"/>
      <c r="C7" s="8" t="s">
        <v>205</v>
      </c>
      <c r="D7" s="8" t="s">
        <v>206</v>
      </c>
      <c r="E7" s="8" t="s">
        <v>285</v>
      </c>
      <c r="F7" s="8" t="s">
        <v>286</v>
      </c>
      <c r="G7" s="8">
        <v>1</v>
      </c>
      <c r="H7" s="9" t="s">
        <v>210</v>
      </c>
    </row>
    <row r="8" spans="1:8" x14ac:dyDescent="0.25">
      <c r="A8" s="7">
        <v>6</v>
      </c>
      <c r="B8" s="8"/>
      <c r="C8" s="8" t="s">
        <v>205</v>
      </c>
      <c r="D8" s="8" t="s">
        <v>206</v>
      </c>
      <c r="E8" s="8" t="s">
        <v>207</v>
      </c>
      <c r="F8" s="8" t="s">
        <v>307</v>
      </c>
      <c r="G8" s="8">
        <v>1</v>
      </c>
      <c r="H8" s="9" t="s">
        <v>210</v>
      </c>
    </row>
    <row r="9" spans="1:8" x14ac:dyDescent="0.25">
      <c r="A9" s="7">
        <v>7</v>
      </c>
      <c r="B9" s="8"/>
      <c r="C9" s="8" t="s">
        <v>205</v>
      </c>
      <c r="D9" s="8" t="s">
        <v>206</v>
      </c>
      <c r="E9" s="8" t="s">
        <v>207</v>
      </c>
      <c r="F9" s="8" t="s">
        <v>309</v>
      </c>
      <c r="G9" s="8">
        <v>1</v>
      </c>
      <c r="H9" s="9" t="s">
        <v>210</v>
      </c>
    </row>
    <row r="10" spans="1:8" x14ac:dyDescent="0.25">
      <c r="A10" s="7">
        <v>8</v>
      </c>
      <c r="B10" s="8"/>
      <c r="C10" s="8" t="s">
        <v>311</v>
      </c>
      <c r="D10" s="8" t="s">
        <v>206</v>
      </c>
      <c r="E10" s="8" t="s">
        <v>207</v>
      </c>
      <c r="F10" s="8" t="s">
        <v>312</v>
      </c>
      <c r="G10" s="8">
        <v>1</v>
      </c>
      <c r="H10" s="9" t="s">
        <v>210</v>
      </c>
    </row>
    <row r="11" spans="1:8" x14ac:dyDescent="0.25">
      <c r="A11" s="7">
        <v>9</v>
      </c>
      <c r="B11" s="8"/>
      <c r="C11" s="8" t="s">
        <v>331</v>
      </c>
      <c r="D11" s="8" t="s">
        <v>332</v>
      </c>
      <c r="E11" s="8" t="s">
        <v>333</v>
      </c>
      <c r="F11" s="8" t="s">
        <v>334</v>
      </c>
      <c r="G11" s="8">
        <v>1</v>
      </c>
      <c r="H11" s="9" t="s">
        <v>336</v>
      </c>
    </row>
    <row r="12" spans="1:8" x14ac:dyDescent="0.25">
      <c r="A12" s="7">
        <v>10</v>
      </c>
      <c r="B12" s="8"/>
      <c r="C12" s="8" t="s">
        <v>415</v>
      </c>
      <c r="D12" s="8" t="s">
        <v>416</v>
      </c>
      <c r="E12" s="8" t="s">
        <v>417</v>
      </c>
      <c r="F12" s="8" t="s">
        <v>418</v>
      </c>
      <c r="G12" s="8">
        <v>1</v>
      </c>
      <c r="H12" s="9" t="s">
        <v>413</v>
      </c>
    </row>
    <row r="13" spans="1:8" x14ac:dyDescent="0.25">
      <c r="A13" s="7">
        <v>11</v>
      </c>
      <c r="B13" s="8"/>
      <c r="C13" s="8" t="s">
        <v>415</v>
      </c>
      <c r="D13" s="8" t="s">
        <v>416</v>
      </c>
      <c r="E13" s="8" t="s">
        <v>417</v>
      </c>
      <c r="F13" s="8" t="s">
        <v>419</v>
      </c>
      <c r="G13" s="8">
        <v>1</v>
      </c>
      <c r="H13" s="9" t="s">
        <v>413</v>
      </c>
    </row>
    <row r="14" spans="1:8" x14ac:dyDescent="0.25">
      <c r="A14" s="7">
        <v>12</v>
      </c>
      <c r="B14" s="8"/>
      <c r="C14" s="8" t="s">
        <v>415</v>
      </c>
      <c r="D14" s="8" t="s">
        <v>422</v>
      </c>
      <c r="E14" s="8" t="s">
        <v>417</v>
      </c>
      <c r="F14" s="8" t="s">
        <v>423</v>
      </c>
      <c r="G14" s="8">
        <v>1</v>
      </c>
      <c r="H14" s="9" t="s">
        <v>413</v>
      </c>
    </row>
    <row r="15" spans="1:8" x14ac:dyDescent="0.25">
      <c r="A15" s="7">
        <v>13</v>
      </c>
      <c r="B15" s="8"/>
      <c r="C15" s="8" t="s">
        <v>415</v>
      </c>
      <c r="D15" s="8" t="s">
        <v>422</v>
      </c>
      <c r="E15" s="8" t="s">
        <v>417</v>
      </c>
      <c r="F15" s="8" t="s">
        <v>424</v>
      </c>
      <c r="G15" s="8">
        <v>1</v>
      </c>
      <c r="H15" s="9" t="s">
        <v>413</v>
      </c>
    </row>
    <row r="16" spans="1:8" x14ac:dyDescent="0.25">
      <c r="A16" s="7">
        <v>14</v>
      </c>
      <c r="B16" s="8"/>
      <c r="C16" s="8" t="s">
        <v>458</v>
      </c>
      <c r="D16" s="8" t="s">
        <v>459</v>
      </c>
      <c r="E16" s="8" t="s">
        <v>333</v>
      </c>
      <c r="F16" s="8" t="s">
        <v>460</v>
      </c>
      <c r="G16" s="8">
        <v>1</v>
      </c>
      <c r="H16" s="9" t="s">
        <v>462</v>
      </c>
    </row>
    <row r="17" spans="1:8" x14ac:dyDescent="0.25">
      <c r="A17" s="7">
        <v>15</v>
      </c>
      <c r="B17" s="8"/>
      <c r="C17" s="8" t="s">
        <v>731</v>
      </c>
      <c r="D17" s="8" t="s">
        <v>732</v>
      </c>
      <c r="E17" s="8" t="s">
        <v>271</v>
      </c>
      <c r="F17" s="8" t="s">
        <v>733</v>
      </c>
      <c r="G17" s="8">
        <v>1</v>
      </c>
      <c r="H17" s="9" t="s">
        <v>735</v>
      </c>
    </row>
    <row r="18" spans="1:8" x14ac:dyDescent="0.25">
      <c r="A18" s="7">
        <v>16</v>
      </c>
      <c r="B18" s="8"/>
      <c r="C18" s="8" t="s">
        <v>731</v>
      </c>
      <c r="D18" s="8" t="s">
        <v>737</v>
      </c>
      <c r="E18" s="8" t="s">
        <v>738</v>
      </c>
      <c r="F18" s="8" t="s">
        <v>739</v>
      </c>
      <c r="G18" s="8">
        <v>1</v>
      </c>
      <c r="H18" s="9" t="s">
        <v>741</v>
      </c>
    </row>
    <row r="19" spans="1:8" x14ac:dyDescent="0.25">
      <c r="A19" s="7">
        <v>17</v>
      </c>
      <c r="B19" s="8" t="s">
        <v>961</v>
      </c>
      <c r="C19" s="8" t="s">
        <v>761</v>
      </c>
      <c r="D19" s="8" t="s">
        <v>761</v>
      </c>
      <c r="E19" s="8" t="s">
        <v>762</v>
      </c>
      <c r="F19" s="8" t="s">
        <v>418</v>
      </c>
      <c r="G19" s="8">
        <v>1</v>
      </c>
      <c r="H19" s="9" t="s">
        <v>764</v>
      </c>
    </row>
    <row r="20" spans="1:8" x14ac:dyDescent="0.25">
      <c r="A20" s="7">
        <v>18</v>
      </c>
      <c r="B20" s="8"/>
      <c r="C20" s="8" t="s">
        <v>205</v>
      </c>
      <c r="D20" s="8" t="s">
        <v>206</v>
      </c>
      <c r="E20" s="8" t="s">
        <v>207</v>
      </c>
      <c r="F20" s="8" t="s">
        <v>804</v>
      </c>
      <c r="G20" s="8">
        <v>1</v>
      </c>
      <c r="H20" s="9" t="s">
        <v>210</v>
      </c>
    </row>
    <row r="21" spans="1:8" x14ac:dyDescent="0.25">
      <c r="A21" s="7">
        <v>19</v>
      </c>
      <c r="B21" s="8"/>
      <c r="C21" s="8" t="s">
        <v>205</v>
      </c>
      <c r="D21" s="8" t="s">
        <v>206</v>
      </c>
      <c r="E21" s="8" t="s">
        <v>207</v>
      </c>
      <c r="F21" s="8" t="s">
        <v>806</v>
      </c>
      <c r="G21" s="8">
        <v>1</v>
      </c>
      <c r="H21" s="9" t="s">
        <v>210</v>
      </c>
    </row>
    <row r="22" spans="1:8" x14ac:dyDescent="0.25">
      <c r="A22" s="7">
        <v>20</v>
      </c>
      <c r="B22" s="8"/>
      <c r="C22" s="8" t="s">
        <v>205</v>
      </c>
      <c r="D22" s="8" t="s">
        <v>206</v>
      </c>
      <c r="E22" s="8" t="s">
        <v>207</v>
      </c>
      <c r="F22" s="8" t="s">
        <v>870</v>
      </c>
      <c r="G22" s="8">
        <v>1</v>
      </c>
      <c r="H22" s="9" t="s">
        <v>210</v>
      </c>
    </row>
    <row r="23" spans="1:8" x14ac:dyDescent="0.25">
      <c r="A23" s="7">
        <v>21</v>
      </c>
      <c r="B23" s="8"/>
      <c r="C23" s="8" t="s">
        <v>205</v>
      </c>
      <c r="D23" s="8" t="s">
        <v>206</v>
      </c>
      <c r="E23" s="8" t="s">
        <v>207</v>
      </c>
      <c r="F23" s="8" t="s">
        <v>872</v>
      </c>
      <c r="G23" s="8">
        <v>1</v>
      </c>
      <c r="H23" s="9" t="s">
        <v>210</v>
      </c>
    </row>
    <row r="24" spans="1:8" x14ac:dyDescent="0.25">
      <c r="A24" s="7">
        <v>22</v>
      </c>
      <c r="B24" s="8"/>
      <c r="C24" s="8" t="s">
        <v>731</v>
      </c>
      <c r="D24" s="8" t="s">
        <v>905</v>
      </c>
      <c r="E24" s="8" t="s">
        <v>906</v>
      </c>
      <c r="F24" s="8" t="s">
        <v>907</v>
      </c>
      <c r="G24" s="8">
        <v>1</v>
      </c>
      <c r="H24" s="9" t="s">
        <v>909</v>
      </c>
    </row>
    <row r="25" spans="1:8" x14ac:dyDescent="0.25">
      <c r="A25" s="7">
        <v>23</v>
      </c>
      <c r="B25" s="8"/>
      <c r="C25" s="8"/>
      <c r="D25" s="8"/>
      <c r="E25" s="8" t="s">
        <v>906</v>
      </c>
      <c r="F25" s="8" t="s">
        <v>991</v>
      </c>
      <c r="G25" s="8">
        <v>1</v>
      </c>
      <c r="H25" s="9"/>
    </row>
    <row r="26" spans="1:8" x14ac:dyDescent="0.25">
      <c r="A26" s="7">
        <v>24</v>
      </c>
      <c r="B26" s="8"/>
      <c r="C26" s="8"/>
      <c r="D26" s="8"/>
      <c r="E26" s="8" t="s">
        <v>906</v>
      </c>
      <c r="F26" s="8" t="s">
        <v>992</v>
      </c>
      <c r="G26" s="8">
        <v>1</v>
      </c>
      <c r="H26" s="9"/>
    </row>
    <row r="27" spans="1:8" ht="15.75" thickBot="1" x14ac:dyDescent="0.3">
      <c r="A27" s="10">
        <v>25</v>
      </c>
      <c r="B27" s="11"/>
      <c r="C27" s="11"/>
      <c r="D27" s="11"/>
      <c r="E27" s="11" t="s">
        <v>906</v>
      </c>
      <c r="F27" s="11" t="s">
        <v>993</v>
      </c>
      <c r="G27" s="11">
        <v>1</v>
      </c>
      <c r="H27" s="12"/>
    </row>
    <row r="28" spans="1:8" x14ac:dyDescent="0.25">
      <c r="G28">
        <f>SUM(G3:G27)</f>
        <v>25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14</vt:i4>
      </vt:variant>
    </vt:vector>
  </HeadingPairs>
  <TitlesOfParts>
    <vt:vector size="14" baseType="lpstr">
      <vt:lpstr>Лист1</vt:lpstr>
      <vt:lpstr>Sheet</vt:lpstr>
      <vt:lpstr>ПО</vt:lpstr>
      <vt:lpstr>ЛЛД</vt:lpstr>
      <vt:lpstr>ЛЛА</vt:lpstr>
      <vt:lpstr>Люди в удгу</vt:lpstr>
      <vt:lpstr>Л2Д</vt:lpstr>
      <vt:lpstr>Л2А</vt:lpstr>
      <vt:lpstr>ЛБР</vt:lpstr>
      <vt:lpstr>ФК</vt:lpstr>
      <vt:lpstr>ФВ</vt:lpstr>
      <vt:lpstr>ДРмини</vt:lpstr>
      <vt:lpstr>ДР</vt:lpstr>
      <vt:lpstr>МА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cp:lastPrinted>2024-01-22T07:19:01Z</cp:lastPrinted>
  <dcterms:created xsi:type="dcterms:W3CDTF">2024-01-18T17:43:33Z</dcterms:created>
  <dcterms:modified xsi:type="dcterms:W3CDTF">2024-01-22T11:28:16Z</dcterms:modified>
</cp:coreProperties>
</file>